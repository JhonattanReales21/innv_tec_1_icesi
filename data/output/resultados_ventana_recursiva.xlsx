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output\"/>
    </mc:Choice>
  </mc:AlternateContent>
  <xr:revisionPtr revIDLastSave="0" documentId="13_ncr:1_{6CC3A9D8-90BC-43C4-AF73-A1DF279E2569}" xr6:coauthVersionLast="47" xr6:coauthVersionMax="47" xr10:uidLastSave="{00000000-0000-0000-0000-000000000000}"/>
  <bookViews>
    <workbookView xWindow="-120" yWindow="-120" windowWidth="38640" windowHeight="15720" xr2:uid="{E5658DFA-635C-4AD7-BC6C-8D92FFF90877}"/>
  </bookViews>
  <sheets>
    <sheet name="pivot table" sheetId="3" r:id="rId1"/>
    <sheet name="transformed data" sheetId="1" r:id="rId2"/>
    <sheet name="raw data results" sheetId="5" r:id="rId3"/>
  </sheets>
  <definedNames>
    <definedName name="_xlnm._FilterDatabase" localSheetId="1" hidden="1">'transformed data'!$A$2:$O$54</definedName>
    <definedName name="SegmentaciónDeDatos_SKU">#N/A</definedName>
  </definedNames>
  <calcPr calcId="191029"/>
  <pivotCaches>
    <pivotCache cacheId="114" r:id="rId4"/>
  </pivotCaches>
  <extLst>
    <ext xmlns:x14="http://schemas.microsoft.com/office/spreadsheetml/2009/9/main" uri="{876F7934-8845-4945-9796-88D515C7AA90}">
      <x14:pivotCaches>
        <pivotCache cacheId="1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M53" i="1"/>
  <c r="L53" i="1"/>
  <c r="K53" i="1"/>
  <c r="J53" i="1"/>
  <c r="I53" i="1"/>
  <c r="H53" i="1"/>
  <c r="N51" i="1"/>
  <c r="M51" i="1"/>
  <c r="L51" i="1"/>
  <c r="K51" i="1"/>
  <c r="J51" i="1"/>
  <c r="I51" i="1"/>
  <c r="H51" i="1"/>
  <c r="N49" i="1"/>
  <c r="M49" i="1"/>
  <c r="L49" i="1"/>
  <c r="K49" i="1"/>
  <c r="J49" i="1"/>
  <c r="I49" i="1"/>
  <c r="H49" i="1"/>
  <c r="N47" i="1"/>
  <c r="M47" i="1"/>
  <c r="L47" i="1"/>
  <c r="K47" i="1"/>
  <c r="J47" i="1"/>
  <c r="I47" i="1"/>
  <c r="H47" i="1"/>
  <c r="N45" i="1"/>
  <c r="M45" i="1"/>
  <c r="L45" i="1"/>
  <c r="K45" i="1"/>
  <c r="J45" i="1"/>
  <c r="I45" i="1"/>
  <c r="H45" i="1"/>
  <c r="N43" i="1"/>
  <c r="M43" i="1"/>
  <c r="L43" i="1"/>
  <c r="K43" i="1"/>
  <c r="J43" i="1"/>
  <c r="I43" i="1"/>
  <c r="H43" i="1"/>
  <c r="N41" i="1"/>
  <c r="M41" i="1"/>
  <c r="L41" i="1"/>
  <c r="K41" i="1"/>
  <c r="J41" i="1"/>
  <c r="I41" i="1"/>
  <c r="H41" i="1"/>
  <c r="N39" i="1"/>
  <c r="M39" i="1"/>
  <c r="L39" i="1"/>
  <c r="K39" i="1"/>
  <c r="J39" i="1"/>
  <c r="I39" i="1"/>
  <c r="H39" i="1"/>
  <c r="N37" i="1"/>
  <c r="M37" i="1"/>
  <c r="L37" i="1"/>
  <c r="K37" i="1"/>
  <c r="J37" i="1"/>
  <c r="I37" i="1"/>
  <c r="H37" i="1"/>
  <c r="N35" i="1"/>
  <c r="M35" i="1"/>
  <c r="L35" i="1"/>
  <c r="K35" i="1"/>
  <c r="J35" i="1"/>
  <c r="I35" i="1"/>
  <c r="H35" i="1"/>
  <c r="N33" i="1"/>
  <c r="M33" i="1"/>
  <c r="L33" i="1"/>
  <c r="K33" i="1"/>
  <c r="J33" i="1"/>
  <c r="I33" i="1"/>
  <c r="H33" i="1"/>
  <c r="N31" i="1"/>
  <c r="M31" i="1"/>
  <c r="L31" i="1"/>
  <c r="K31" i="1"/>
  <c r="J31" i="1"/>
  <c r="I31" i="1"/>
  <c r="H31" i="1"/>
  <c r="N29" i="1"/>
  <c r="M29" i="1"/>
  <c r="L29" i="1"/>
  <c r="K29" i="1"/>
  <c r="J29" i="1"/>
  <c r="I29" i="1"/>
  <c r="H29" i="1"/>
  <c r="N27" i="1"/>
  <c r="M27" i="1"/>
  <c r="L27" i="1"/>
  <c r="K27" i="1"/>
  <c r="J27" i="1"/>
  <c r="I27" i="1"/>
  <c r="H27" i="1"/>
  <c r="N25" i="1"/>
  <c r="M25" i="1"/>
  <c r="L25" i="1"/>
  <c r="K25" i="1"/>
  <c r="J25" i="1"/>
  <c r="I25" i="1"/>
  <c r="H25" i="1"/>
  <c r="N23" i="1"/>
  <c r="M23" i="1"/>
  <c r="L23" i="1"/>
  <c r="K23" i="1"/>
  <c r="J23" i="1"/>
  <c r="I23" i="1"/>
  <c r="H23" i="1"/>
  <c r="N21" i="1"/>
  <c r="M21" i="1"/>
  <c r="L21" i="1"/>
  <c r="K21" i="1"/>
  <c r="J21" i="1"/>
  <c r="I21" i="1"/>
  <c r="H21" i="1"/>
  <c r="N19" i="1"/>
  <c r="M19" i="1"/>
  <c r="L19" i="1"/>
  <c r="K19" i="1"/>
  <c r="J19" i="1"/>
  <c r="I19" i="1"/>
  <c r="H19" i="1"/>
  <c r="N17" i="1"/>
  <c r="M17" i="1"/>
  <c r="L17" i="1"/>
  <c r="K17" i="1"/>
  <c r="J17" i="1"/>
  <c r="I17" i="1"/>
  <c r="H17" i="1"/>
  <c r="N15" i="1"/>
  <c r="M15" i="1"/>
  <c r="L15" i="1"/>
  <c r="K15" i="1"/>
  <c r="J15" i="1"/>
  <c r="I15" i="1"/>
  <c r="H15" i="1"/>
  <c r="N13" i="1"/>
  <c r="M13" i="1"/>
  <c r="L13" i="1"/>
  <c r="K13" i="1"/>
  <c r="J13" i="1"/>
  <c r="I13" i="1"/>
  <c r="H13" i="1"/>
  <c r="N11" i="1"/>
  <c r="M11" i="1"/>
  <c r="L11" i="1"/>
  <c r="K11" i="1"/>
  <c r="J11" i="1"/>
  <c r="I11" i="1"/>
  <c r="H11" i="1"/>
  <c r="N9" i="1"/>
  <c r="M9" i="1"/>
  <c r="L9" i="1"/>
  <c r="K9" i="1"/>
  <c r="J9" i="1"/>
  <c r="I9" i="1"/>
  <c r="H9" i="1"/>
  <c r="N7" i="1"/>
  <c r="M7" i="1"/>
  <c r="L7" i="1"/>
  <c r="K7" i="1"/>
  <c r="J7" i="1"/>
  <c r="I7" i="1"/>
  <c r="H7" i="1"/>
  <c r="N5" i="1"/>
  <c r="M5" i="1"/>
  <c r="L5" i="1"/>
  <c r="K5" i="1"/>
  <c r="J5" i="1"/>
  <c r="I5" i="1"/>
  <c r="H5" i="1"/>
  <c r="N3" i="1"/>
  <c r="M3" i="1"/>
  <c r="L3" i="1"/>
  <c r="K3" i="1"/>
  <c r="J3" i="1"/>
  <c r="I3" i="1"/>
  <c r="H3" i="1"/>
  <c r="O52" i="1"/>
  <c r="O50" i="1"/>
  <c r="O48" i="1"/>
  <c r="O46" i="1"/>
  <c r="O44" i="1"/>
  <c r="O42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0" i="1"/>
  <c r="O36" i="1"/>
  <c r="O38" i="1"/>
  <c r="O54" i="1"/>
  <c r="O3" i="1" l="1"/>
  <c r="O4" i="1"/>
  <c r="O7" i="1"/>
  <c r="O19" i="1"/>
  <c r="O51" i="1"/>
  <c r="O5" i="1"/>
  <c r="O17" i="1"/>
  <c r="O49" i="1"/>
  <c r="O33" i="1"/>
  <c r="O15" i="1"/>
  <c r="O31" i="1"/>
  <c r="O47" i="1"/>
  <c r="O13" i="1"/>
  <c r="O29" i="1"/>
  <c r="O45" i="1"/>
  <c r="O25" i="1"/>
  <c r="O41" i="1"/>
  <c r="O9" i="1"/>
  <c r="O39" i="1"/>
  <c r="O35" i="1"/>
  <c r="O11" i="1"/>
  <c r="O27" i="1"/>
  <c r="O43" i="1"/>
  <c r="O23" i="1"/>
  <c r="O21" i="1"/>
  <c r="O37" i="1"/>
  <c r="O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<sst xmlns="http://schemas.openxmlformats.org/spreadsheetml/2006/main" count="341" uniqueCount="78">
  <si>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</si>
  <si>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</si>
  <si>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</si>
  <si>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</si>
  <si>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</si>
  <si>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</si>
  <si>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</si>
  <si>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</si>
  <si>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</si>
  <si>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</si>
  <si>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</si>
  <si>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</si>
  <si>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</si>
  <si>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</si>
  <si>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</si>
  <si>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</si>
  <si>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</si>
  <si>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</si>
  <si>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</si>
  <si>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</si>
  <si>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</si>
  <si>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</si>
  <si>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</si>
  <si>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</si>
  <si>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</si>
  <si>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</si>
  <si>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</si>
  <si>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</si>
  <si>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</si>
  <si>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</si>
  <si>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</si>
  <si>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</si>
  <si>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</si>
  <si>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</si>
  <si>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</si>
  <si>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</si>
  <si>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</si>
  <si>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</si>
  <si>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</si>
  <si>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</si>
  <si>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</si>
  <si>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</si>
  <si>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</si>
  <si>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</si>
  <si>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</si>
  <si>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</si>
  <si>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</si>
  <si>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</si>
  <si>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</si>
  <si>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</si>
  <si>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</si>
  <si>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</si>
  <si>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</si>
  <si>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</si>
  <si>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</si>
  <si>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</si>
  <si>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</si>
  <si>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</si>
  <si>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#</t>
  </si>
  <si>
    <t>Group</t>
  </si>
  <si>
    <t>Pedidos</t>
  </si>
  <si>
    <t>Total</t>
  </si>
  <si>
    <t>Total general</t>
  </si>
  <si>
    <t>WMAPE</t>
  </si>
  <si>
    <t>Forecast (Und)</t>
  </si>
  <si>
    <t>Pedidos (Und)</t>
  </si>
  <si>
    <t>Producto</t>
  </si>
  <si>
    <t>Bias %</t>
  </si>
  <si>
    <t>MAPE  %</t>
  </si>
  <si>
    <t>Modelo</t>
  </si>
  <si>
    <t>forecast</t>
  </si>
  <si>
    <t>Holt-Winters</t>
  </si>
  <si>
    <t>ARIMA(1,0,2)</t>
  </si>
  <si>
    <t>ARIMA(2,2,2)</t>
  </si>
  <si>
    <t>ARIMA(2,0,2)</t>
  </si>
  <si>
    <t>ARIMA(1,1,2)</t>
  </si>
  <si>
    <t>ARIMA(2,0,1)</t>
  </si>
  <si>
    <t>ARIMA(0,0,1)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</si>
</sst>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  <xf numFmtId="0" fontId="0" fillId="0" borderId="0" xfId="0" applyAlignment="1">
      <alignment horizontal="left" indent="1"/>
    </xf>
  </cellXfs>
  <cellStyles count="1">
    <cellStyle name="Normal" xfId="0" builtinId="0"/>
  </cellStyles>
  <dxfs count="3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605330</xdr:colOff>
      <xdr:row>2</xdr:row>
      <xdr:rowOff>26276</xdr:rowOff>
    </xdr:from>
    <xdr:to>
      <xdr:col>10</xdr:col>
      <xdr:colOff>95579</xdr:colOff>
      <xdr:row>12</xdr:row>
      <xdr:rowOff>53866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313" y="407276"/>
              <a:ext cx="1828800" cy="1932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1.879934375" createdVersion="5" refreshedVersion="8" minRefreshableVersion="3" recordCount="0" supportSubquery="1" supportAdvancedDrill="1" xr:uid="{C4CB9743-F4F7-4E3B-BA8D-6E96F57B95F5}">
  <cacheSource type="external" connectionId="2"/>
  <cacheFields count="7">
    <cacheField name="[Tabla1].[SKU].[SKU]" caption="SKU" numFmtId="0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1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4" level="32767"/>
    <cacheField name="[Measures].[Suma de Pedidos]" caption="Suma de Pedidos" numFmtId="0" hierarchy="5" level="32767"/>
    <cacheField name="[Measures].[WMAPE]" caption="WMAPE" numFmtId="0" hierarchy="6" level="32767"/>
    <cacheField name="[Measures].[Bias %]" caption="Bias %" numFmtId="0" hierarchy="8" level="32767"/>
    <cacheField name="[Measures].[MAPE Total %]" caption="MAPE Total %" numFmtId="0" hierarchy="9" level="32767"/>
  </cacheFields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1.838485995373" createdVersion="3" refreshedVersion="8" minRefreshableVersion="3" recordCount="0" supportSubquery="1" supportAdvancedDrill="1" xr:uid="{EBC44435-5192-4B5B-9632-E4262BDFC6E9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5939900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114" applyNumberFormats="0" applyBorderFormats="0" applyFontFormats="0" applyPatternFormats="0" applyAlignmentFormats="0" applyWidthHeightFormats="1" dataCaption="Valores" tag="06b31c9a-f5b4-42d2-8113-81d4c4a2c663" updatedVersion="8" minRefreshableVersion="3" useAutoFormatting="1" itemPrintTitles="1" createdVersion="5" indent="0" outline="1" outlineData="1" multipleFieldFilters="0" rowHeaderCaption="Producto">
  <location ref="B3:G135" firstHeaderRow="0" firstDataRow="1" firstDataCol="1"/>
  <pivotFields count="7">
    <pivotField axis="axisRow" allDrilled="1" subtotalTop="0" showAll="0" dataSourceSort="1" defaultSubtotal="0">
      <items count="2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31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2"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1259399006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startItem="21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O54" totalsRowShown="0" headerRowDxfId="30">
  <autoFilter ref="A2:O54" xr:uid="{AC5160AC-1829-43F3-A27C-CA2B27D5BDDF}"/>
  <tableColumns count="15">
    <tableColumn id="1" xr3:uid="{C3CE245C-8581-4724-B40B-3A95F6007B37}" name="#" dataDxfId="29"/>
    <tableColumn id="2" xr3:uid="{7DD193C4-0C66-409B-B1FE-EC0B16866203}" name="SKU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SUM(H3:N3)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O135"/>
  <sheetViews>
    <sheetView tabSelected="1" topLeftCell="A40" zoomScale="145" zoomScaleNormal="145" workbookViewId="0">
      <selection activeCell="K27" sqref="K27"/>
    </sheetView>
  </sheetViews>
  <sheetFormatPr baseColWidth="10" defaultRowHeight="15" x14ac:dyDescent="0.25"/>
  <cols>
    <col min="2" max="2" width="12.5703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85546875" bestFit="1" customWidth="1"/>
    <col min="8" max="8" width="12" bestFit="1" customWidth="1"/>
    <col min="9" max="9" width="11" bestFit="1" customWidth="1"/>
    <col min="10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8" x14ac:dyDescent="0.25">
      <c r="B3" s="4" t="s">
        <v>66</v>
      </c>
      <c r="C3" t="s">
        <v>64</v>
      </c>
      <c r="D3" t="s">
        <v>65</v>
      </c>
      <c r="E3" t="s">
        <v>63</v>
      </c>
      <c r="F3" s="2" t="s">
        <v>68</v>
      </c>
      <c r="G3" t="s">
        <v>67</v>
      </c>
    </row>
    <row r="4" spans="2:8" x14ac:dyDescent="0.25">
      <c r="B4" s="5" t="s">
        <v>6</v>
      </c>
      <c r="C4" s="6">
        <v>128513.16426981347</v>
      </c>
      <c r="D4" s="6">
        <v>140520</v>
      </c>
      <c r="E4" s="7">
        <v>0.1389730665923708</v>
      </c>
      <c r="F4" s="7">
        <v>8.5445742457917251E-2</v>
      </c>
      <c r="G4" s="7">
        <v>-8.0082040200515445E-2</v>
      </c>
    </row>
    <row r="5" spans="2:8" x14ac:dyDescent="0.25">
      <c r="B5" s="5" t="s">
        <v>8</v>
      </c>
      <c r="C5" s="6">
        <v>7318.806494607843</v>
      </c>
      <c r="D5" s="6">
        <v>9180</v>
      </c>
      <c r="E5" s="7">
        <v>0.20274439056559448</v>
      </c>
      <c r="F5" s="7">
        <v>0.20274439056559446</v>
      </c>
      <c r="G5" s="7">
        <v>-0.19673313441745685</v>
      </c>
      <c r="H5" s="8"/>
    </row>
    <row r="6" spans="2:8" x14ac:dyDescent="0.25">
      <c r="B6" s="5" t="s">
        <v>10</v>
      </c>
      <c r="C6" s="6">
        <v>8065.5833177510649</v>
      </c>
      <c r="D6" s="6">
        <v>7200</v>
      </c>
      <c r="E6" s="7">
        <v>0.2438389619983703</v>
      </c>
      <c r="F6" s="7">
        <v>0.12021990524320346</v>
      </c>
      <c r="G6" s="7">
        <v>0.30612713122832508</v>
      </c>
    </row>
    <row r="7" spans="2:8" x14ac:dyDescent="0.25">
      <c r="B7" s="5" t="s">
        <v>12</v>
      </c>
      <c r="C7" s="6">
        <v>2801.8929703209024</v>
      </c>
      <c r="D7" s="6">
        <v>3900</v>
      </c>
      <c r="E7" s="7">
        <v>0.57272499337760763</v>
      </c>
      <c r="F7" s="7">
        <v>0.28156590504592249</v>
      </c>
      <c r="G7" s="7">
        <v>-0.20181555416896302</v>
      </c>
    </row>
    <row r="8" spans="2:8" x14ac:dyDescent="0.25">
      <c r="B8" s="5" t="s">
        <v>14</v>
      </c>
      <c r="C8" s="6">
        <v>3870.1411623584236</v>
      </c>
      <c r="D8" s="6">
        <v>3900</v>
      </c>
      <c r="E8" s="7">
        <v>0.40589527777893486</v>
      </c>
      <c r="F8" s="7">
        <v>7.6561122157888283E-3</v>
      </c>
      <c r="G8" s="7">
        <v>0.55058720829772312</v>
      </c>
    </row>
    <row r="9" spans="2:8" x14ac:dyDescent="0.25">
      <c r="B9" s="5" t="s">
        <v>16</v>
      </c>
      <c r="C9" s="6">
        <v>2058.6233601844729</v>
      </c>
      <c r="D9" s="6">
        <v>15840</v>
      </c>
      <c r="E9" s="7">
        <v>0.92181433166829085</v>
      </c>
      <c r="F9" s="7">
        <v>0.87003640402875804</v>
      </c>
      <c r="G9" s="7">
        <v>-0.87459176972291175</v>
      </c>
    </row>
    <row r="10" spans="2:8" x14ac:dyDescent="0.25">
      <c r="B10" s="5" t="s">
        <v>18</v>
      </c>
      <c r="C10" s="6">
        <v>7141.6265213342876</v>
      </c>
      <c r="D10" s="6">
        <v>6960</v>
      </c>
      <c r="E10" s="7">
        <v>0.18555842402446779</v>
      </c>
      <c r="F10" s="7">
        <v>2.6095764559524087E-2</v>
      </c>
      <c r="G10" s="7">
        <v>5.2135664436422299E-2</v>
      </c>
    </row>
    <row r="11" spans="2:8" x14ac:dyDescent="0.25">
      <c r="B11" s="5" t="s">
        <v>20</v>
      </c>
      <c r="C11" s="6">
        <v>25335.423245020331</v>
      </c>
      <c r="D11" s="6">
        <v>24600</v>
      </c>
      <c r="E11" s="7">
        <v>0.19349032443517983</v>
      </c>
      <c r="F11" s="7">
        <v>2.9895253862615073E-2</v>
      </c>
      <c r="G11" s="7">
        <v>0.1215077180168317</v>
      </c>
      <c r="H11" s="8"/>
    </row>
    <row r="12" spans="2:8" x14ac:dyDescent="0.25">
      <c r="B12" s="5" t="s">
        <v>21</v>
      </c>
      <c r="C12" s="6">
        <v>109279.29345057969</v>
      </c>
      <c r="D12" s="6">
        <v>82871</v>
      </c>
      <c r="E12" s="7">
        <v>0.37727491027637777</v>
      </c>
      <c r="F12" s="7">
        <v>0.3186674886338971</v>
      </c>
      <c r="G12" s="7">
        <v>0.52239101428996104</v>
      </c>
    </row>
    <row r="13" spans="2:8" x14ac:dyDescent="0.25">
      <c r="B13" s="5" t="s">
        <v>23</v>
      </c>
      <c r="C13" s="6">
        <v>14179.674350073401</v>
      </c>
      <c r="D13" s="6">
        <v>15120</v>
      </c>
      <c r="E13" s="7">
        <v>0.2496449809041997</v>
      </c>
      <c r="F13" s="7">
        <v>6.2190849862870302E-2</v>
      </c>
      <c r="G13" s="7">
        <v>6.0222852586709709E-2</v>
      </c>
    </row>
    <row r="14" spans="2:8" x14ac:dyDescent="0.25">
      <c r="B14" s="5" t="s">
        <v>25</v>
      </c>
      <c r="C14" s="6">
        <v>8530.2771208330269</v>
      </c>
      <c r="D14" s="6">
        <v>27720</v>
      </c>
      <c r="E14" s="7">
        <v>0.69226994513589368</v>
      </c>
      <c r="F14" s="7">
        <v>0.69226994513589368</v>
      </c>
      <c r="G14" s="7">
        <v>-0.61802596160655088</v>
      </c>
    </row>
    <row r="15" spans="2:8" x14ac:dyDescent="0.25">
      <c r="B15" s="5" t="s">
        <v>27</v>
      </c>
      <c r="C15" s="6"/>
      <c r="D15" s="6"/>
      <c r="E15" s="7"/>
      <c r="F15" s="7"/>
      <c r="G15" s="7"/>
    </row>
    <row r="16" spans="2:8" x14ac:dyDescent="0.25">
      <c r="B16" s="9" t="s">
        <v>51</v>
      </c>
      <c r="C16" s="6">
        <v>4244.9721539972797</v>
      </c>
      <c r="D16" s="6">
        <v>6000</v>
      </c>
      <c r="E16" s="7">
        <v>0.29250464100045337</v>
      </c>
      <c r="F16" s="7">
        <v>0.29250464100045337</v>
      </c>
      <c r="G16" s="7">
        <v>-0.29250464100045337</v>
      </c>
    </row>
    <row r="17" spans="2:15" x14ac:dyDescent="0.25">
      <c r="B17" s="9" t="s">
        <v>52</v>
      </c>
      <c r="C17" s="6">
        <v>4951.5757395134897</v>
      </c>
      <c r="D17" s="6">
        <v>7050</v>
      </c>
      <c r="E17" s="7">
        <v>0.29764883127468234</v>
      </c>
      <c r="F17" s="7">
        <v>0.29764883127468234</v>
      </c>
      <c r="G17" s="7">
        <v>-0.29764883127468234</v>
      </c>
    </row>
    <row r="18" spans="2:15" x14ac:dyDescent="0.25">
      <c r="B18" s="9" t="s">
        <v>53</v>
      </c>
      <c r="C18" s="6">
        <v>3299.9912990818002</v>
      </c>
      <c r="D18" s="6">
        <v>6000</v>
      </c>
      <c r="E18" s="7">
        <v>0.45000145015303328</v>
      </c>
      <c r="F18" s="7">
        <v>0.45000145015303328</v>
      </c>
      <c r="G18" s="7">
        <v>-0.45000145015303328</v>
      </c>
    </row>
    <row r="19" spans="2:15" x14ac:dyDescent="0.25">
      <c r="B19" s="9" t="s">
        <v>54</v>
      </c>
      <c r="C19" s="6">
        <v>5190.8371963485897</v>
      </c>
      <c r="D19" s="6">
        <v>5550</v>
      </c>
      <c r="E19" s="7">
        <v>6.4714018675929783E-2</v>
      </c>
      <c r="F19" s="7">
        <v>6.4714018675929783E-2</v>
      </c>
      <c r="G19" s="7">
        <v>-6.4714018675929783E-2</v>
      </c>
    </row>
    <row r="20" spans="2:15" x14ac:dyDescent="0.25">
      <c r="B20" s="9" t="s">
        <v>55</v>
      </c>
      <c r="C20" s="6">
        <v>4326.4615921160803</v>
      </c>
      <c r="D20" s="6">
        <v>4050</v>
      </c>
      <c r="E20" s="7">
        <v>6.8262121510143284E-2</v>
      </c>
      <c r="F20" s="7">
        <v>6.8262121510143284E-2</v>
      </c>
      <c r="G20" s="7">
        <v>6.8262121510143284E-2</v>
      </c>
    </row>
    <row r="21" spans="2:15" x14ac:dyDescent="0.25">
      <c r="B21" s="9" t="s">
        <v>56</v>
      </c>
      <c r="C21" s="6">
        <v>4260.7554377544702</v>
      </c>
      <c r="D21" s="6">
        <v>2250</v>
      </c>
      <c r="E21" s="7">
        <v>0.89366908344643126</v>
      </c>
      <c r="F21" s="7">
        <v>0.89366908344643126</v>
      </c>
      <c r="G21" s="7">
        <v>0.89366908344643126</v>
      </c>
    </row>
    <row r="22" spans="2:15" x14ac:dyDescent="0.25">
      <c r="B22" s="9" t="s">
        <v>57</v>
      </c>
      <c r="C22" s="6">
        <v>4403.4192293533697</v>
      </c>
      <c r="D22" s="6">
        <v>3000</v>
      </c>
      <c r="E22" s="7">
        <v>0.46780640978445659</v>
      </c>
      <c r="F22" s="7">
        <v>0.46780640978445659</v>
      </c>
      <c r="G22" s="7">
        <v>0.46780640978445659</v>
      </c>
    </row>
    <row r="23" spans="2:15" x14ac:dyDescent="0.25">
      <c r="B23" s="5" t="s">
        <v>28</v>
      </c>
      <c r="C23" s="6"/>
      <c r="D23" s="6"/>
      <c r="E23" s="7"/>
      <c r="F23" s="7"/>
      <c r="G23" s="7"/>
    </row>
    <row r="24" spans="2:15" x14ac:dyDescent="0.25">
      <c r="B24" s="9" t="s">
        <v>51</v>
      </c>
      <c r="C24" s="6">
        <v>8972.1097038138396</v>
      </c>
      <c r="D24" s="6">
        <v>8400</v>
      </c>
      <c r="E24" s="7">
        <v>6.810829807307614E-2</v>
      </c>
      <c r="F24" s="7">
        <v>6.810829807307614E-2</v>
      </c>
      <c r="G24" s="7">
        <v>6.810829807307614E-2</v>
      </c>
    </row>
    <row r="25" spans="2:15" x14ac:dyDescent="0.25">
      <c r="B25" s="9" t="s">
        <v>52</v>
      </c>
      <c r="C25" s="6">
        <v>2873.44995418088</v>
      </c>
      <c r="D25" s="6">
        <v>1800</v>
      </c>
      <c r="E25" s="7">
        <v>0.5963610856560444</v>
      </c>
      <c r="F25" s="7">
        <v>0.5963610856560444</v>
      </c>
      <c r="G25" s="7">
        <v>0.5963610856560444</v>
      </c>
    </row>
    <row r="26" spans="2:15" x14ac:dyDescent="0.25">
      <c r="B26" s="9" t="s">
        <v>53</v>
      </c>
      <c r="C26" s="6">
        <v>3607.0015375932799</v>
      </c>
      <c r="D26" s="6">
        <v>5400</v>
      </c>
      <c r="E26" s="7">
        <v>0.33203675229754076</v>
      </c>
      <c r="F26" s="7">
        <v>0.33203675229754076</v>
      </c>
      <c r="G26" s="7">
        <v>-0.33203675229754076</v>
      </c>
    </row>
    <row r="27" spans="2:15" x14ac:dyDescent="0.25">
      <c r="B27" s="9" t="s">
        <v>54</v>
      </c>
      <c r="C27" s="6">
        <v>6064.1281948123597</v>
      </c>
      <c r="D27" s="6">
        <v>10800</v>
      </c>
      <c r="E27" s="7">
        <v>0.43850664862848521</v>
      </c>
      <c r="F27" s="7">
        <v>0.43850664862848521</v>
      </c>
      <c r="G27" s="7">
        <v>-0.43850664862848521</v>
      </c>
    </row>
    <row r="28" spans="2:15" x14ac:dyDescent="0.25">
      <c r="B28" s="9" t="s">
        <v>55</v>
      </c>
      <c r="C28" s="6">
        <v>8396.84312729054</v>
      </c>
      <c r="D28" s="6">
        <v>16800</v>
      </c>
      <c r="E28" s="7">
        <v>0.50018790908984878</v>
      </c>
      <c r="F28" s="7">
        <v>0.50018790908984878</v>
      </c>
      <c r="G28" s="7">
        <v>-0.50018790908984878</v>
      </c>
    </row>
    <row r="29" spans="2:15" x14ac:dyDescent="0.25">
      <c r="B29" s="9" t="s">
        <v>56</v>
      </c>
      <c r="C29" s="6">
        <v>5423.7369636203603</v>
      </c>
      <c r="D29" s="6">
        <v>6360</v>
      </c>
      <c r="E29" s="7">
        <v>0.14721116924208172</v>
      </c>
      <c r="F29" s="7">
        <v>0.14721116924208172</v>
      </c>
      <c r="G29" s="7">
        <v>-0.14721116924208172</v>
      </c>
      <c r="O29" s="8"/>
    </row>
    <row r="30" spans="2:15" x14ac:dyDescent="0.25">
      <c r="B30" s="9" t="s">
        <v>57</v>
      </c>
      <c r="C30" s="6">
        <v>5730.3064908504002</v>
      </c>
      <c r="D30" s="6">
        <v>10800</v>
      </c>
      <c r="E30" s="7">
        <v>0.469416065662</v>
      </c>
      <c r="F30" s="7">
        <v>0.469416065662</v>
      </c>
      <c r="G30" s="7">
        <v>-0.469416065662</v>
      </c>
    </row>
    <row r="31" spans="2:15" x14ac:dyDescent="0.25">
      <c r="B31" s="5" t="s">
        <v>29</v>
      </c>
      <c r="C31" s="6"/>
      <c r="D31" s="6"/>
      <c r="E31" s="7"/>
      <c r="F31" s="7"/>
      <c r="G31" s="7"/>
    </row>
    <row r="32" spans="2:15" x14ac:dyDescent="0.25">
      <c r="B32" s="9" t="s">
        <v>51</v>
      </c>
      <c r="C32" s="6">
        <v>4595.9905118816396</v>
      </c>
      <c r="D32" s="6">
        <v>1800</v>
      </c>
      <c r="E32" s="7">
        <v>1.5533280621564665</v>
      </c>
      <c r="F32" s="7">
        <v>1.5533280621564665</v>
      </c>
      <c r="G32" s="7">
        <v>1.5533280621564665</v>
      </c>
    </row>
    <row r="33" spans="2:7" x14ac:dyDescent="0.25">
      <c r="B33" s="9" t="s">
        <v>52</v>
      </c>
      <c r="C33" s="6">
        <v>3090.5625464940799</v>
      </c>
      <c r="D33" s="6">
        <v>3840</v>
      </c>
      <c r="E33" s="7">
        <v>0.19516600351716668</v>
      </c>
      <c r="F33" s="7">
        <v>0.19516600351716668</v>
      </c>
      <c r="G33" s="7">
        <v>-0.19516600351716668</v>
      </c>
    </row>
    <row r="34" spans="2:7" x14ac:dyDescent="0.25">
      <c r="B34" s="9" t="s">
        <v>53</v>
      </c>
      <c r="C34" s="6">
        <v>1061.1332852507801</v>
      </c>
      <c r="D34" s="6">
        <v>960</v>
      </c>
      <c r="E34" s="7">
        <v>0.10534717213622927</v>
      </c>
      <c r="F34" s="7">
        <v>0.10534717213622927</v>
      </c>
      <c r="G34" s="7">
        <v>0.10534717213622927</v>
      </c>
    </row>
    <row r="35" spans="2:7" x14ac:dyDescent="0.25">
      <c r="B35" s="9" t="s">
        <v>54</v>
      </c>
      <c r="C35" s="6">
        <v>4785.2606109100598</v>
      </c>
      <c r="D35" s="6">
        <v>4680</v>
      </c>
      <c r="E35" s="7">
        <v>2.249158352779055E-2</v>
      </c>
      <c r="F35" s="7">
        <v>2.249158352779055E-2</v>
      </c>
      <c r="G35" s="7">
        <v>2.249158352779055E-2</v>
      </c>
    </row>
    <row r="36" spans="2:7" x14ac:dyDescent="0.25">
      <c r="B36" s="9" t="s">
        <v>55</v>
      </c>
      <c r="C36" s="6">
        <v>8778.7123308720693</v>
      </c>
      <c r="D36" s="6">
        <v>13200</v>
      </c>
      <c r="E36" s="7">
        <v>0.33494603553999475</v>
      </c>
      <c r="F36" s="7">
        <v>0.33494603553999475</v>
      </c>
      <c r="G36" s="7">
        <v>-0.33494603553999475</v>
      </c>
    </row>
    <row r="37" spans="2:7" x14ac:dyDescent="0.25">
      <c r="B37" s="9" t="s">
        <v>56</v>
      </c>
      <c r="C37" s="6">
        <v>2612.5143607658501</v>
      </c>
      <c r="D37" s="6">
        <v>1800</v>
      </c>
      <c r="E37" s="7">
        <v>0.45139686709213894</v>
      </c>
      <c r="F37" s="7">
        <v>0.45139686709213894</v>
      </c>
      <c r="G37" s="7">
        <v>0.45139686709213894</v>
      </c>
    </row>
    <row r="38" spans="2:7" x14ac:dyDescent="0.25">
      <c r="B38" s="9" t="s">
        <v>57</v>
      </c>
      <c r="C38" s="6">
        <v>2835.63316741475</v>
      </c>
      <c r="D38" s="6">
        <v>4320</v>
      </c>
      <c r="E38" s="7">
        <v>0.3436034334688079</v>
      </c>
      <c r="F38" s="7">
        <v>0.3436034334688079</v>
      </c>
      <c r="G38" s="7">
        <v>-0.3436034334688079</v>
      </c>
    </row>
    <row r="39" spans="2:7" x14ac:dyDescent="0.25">
      <c r="B39" s="5" t="s">
        <v>30</v>
      </c>
      <c r="C39" s="6"/>
      <c r="D39" s="6"/>
      <c r="E39" s="7"/>
      <c r="F39" s="7"/>
      <c r="G39" s="7"/>
    </row>
    <row r="40" spans="2:7" x14ac:dyDescent="0.25">
      <c r="B40" s="9" t="s">
        <v>51</v>
      </c>
      <c r="C40" s="6">
        <v>3722.6150099598299</v>
      </c>
      <c r="D40" s="6">
        <v>3000</v>
      </c>
      <c r="E40" s="7">
        <v>0.24087166998660997</v>
      </c>
      <c r="F40" s="7">
        <v>0.24087166998660997</v>
      </c>
      <c r="G40" s="7">
        <v>0.24087166998660997</v>
      </c>
    </row>
    <row r="41" spans="2:7" x14ac:dyDescent="0.25">
      <c r="B41" s="9" t="s">
        <v>52</v>
      </c>
      <c r="C41" s="6">
        <v>1975.61240566581</v>
      </c>
      <c r="D41" s="6">
        <v>840</v>
      </c>
      <c r="E41" s="7">
        <v>1.3519195305545357</v>
      </c>
      <c r="F41" s="7">
        <v>1.3519195305545357</v>
      </c>
      <c r="G41" s="7">
        <v>1.3519195305545357</v>
      </c>
    </row>
    <row r="42" spans="2:7" x14ac:dyDescent="0.25">
      <c r="B42" s="9" t="s">
        <v>53</v>
      </c>
      <c r="C42" s="6">
        <v>860.04422805808304</v>
      </c>
      <c r="D42" s="6">
        <v>840</v>
      </c>
      <c r="E42" s="7">
        <v>2.3862176259622662E-2</v>
      </c>
      <c r="F42" s="7">
        <v>2.3862176259622662E-2</v>
      </c>
      <c r="G42" s="7">
        <v>2.3862176259622662E-2</v>
      </c>
    </row>
    <row r="43" spans="2:7" x14ac:dyDescent="0.25">
      <c r="B43" s="9" t="s">
        <v>54</v>
      </c>
      <c r="C43" s="6">
        <v>4441.7200231628303</v>
      </c>
      <c r="D43" s="6">
        <v>5040</v>
      </c>
      <c r="E43" s="7">
        <v>0.11870634461054953</v>
      </c>
      <c r="F43" s="7">
        <v>0.11870634461054953</v>
      </c>
      <c r="G43" s="7">
        <v>-0.11870634461054953</v>
      </c>
    </row>
    <row r="44" spans="2:7" x14ac:dyDescent="0.25">
      <c r="B44" s="9" t="s">
        <v>55</v>
      </c>
      <c r="C44" s="6">
        <v>5473.6110870155999</v>
      </c>
      <c r="D44" s="6">
        <v>6240</v>
      </c>
      <c r="E44" s="7">
        <v>0.12281873605519232</v>
      </c>
      <c r="F44" s="7">
        <v>0.12281873605519232</v>
      </c>
      <c r="G44" s="7">
        <v>-0.12281873605519232</v>
      </c>
    </row>
    <row r="45" spans="2:7" x14ac:dyDescent="0.25">
      <c r="B45" s="9" t="s">
        <v>56</v>
      </c>
      <c r="C45" s="6">
        <v>3896.39167344408</v>
      </c>
      <c r="D45" s="6">
        <v>6960</v>
      </c>
      <c r="E45" s="7">
        <v>0.44017361013734485</v>
      </c>
      <c r="F45" s="7">
        <v>0.44017361013734485</v>
      </c>
      <c r="G45" s="7">
        <v>-0.44017361013734485</v>
      </c>
    </row>
    <row r="46" spans="2:7" x14ac:dyDescent="0.25">
      <c r="B46" s="9" t="s">
        <v>57</v>
      </c>
      <c r="C46" s="6">
        <v>2533.4186865132901</v>
      </c>
      <c r="D46" s="6">
        <v>2160</v>
      </c>
      <c r="E46" s="7">
        <v>0.17287902153393062</v>
      </c>
      <c r="F46" s="7">
        <v>0.17287902153393062</v>
      </c>
      <c r="G46" s="7">
        <v>0.17287902153393062</v>
      </c>
    </row>
    <row r="47" spans="2:7" x14ac:dyDescent="0.25">
      <c r="B47" s="5" t="s">
        <v>32</v>
      </c>
      <c r="C47" s="6"/>
      <c r="D47" s="6"/>
      <c r="E47" s="7"/>
      <c r="F47" s="7"/>
      <c r="G47" s="7"/>
    </row>
    <row r="48" spans="2:7" x14ac:dyDescent="0.25">
      <c r="B48" s="9" t="s">
        <v>51</v>
      </c>
      <c r="C48" s="6">
        <v>4604.2740167440197</v>
      </c>
      <c r="D48" s="6">
        <v>5160</v>
      </c>
      <c r="E48" s="7">
        <v>0.10769883396433727</v>
      </c>
      <c r="F48" s="7">
        <v>0.10769883396433727</v>
      </c>
      <c r="G48" s="7">
        <v>-0.10769883396433727</v>
      </c>
    </row>
    <row r="49" spans="2:7" x14ac:dyDescent="0.25">
      <c r="B49" s="9" t="s">
        <v>52</v>
      </c>
      <c r="C49" s="6">
        <v>5228.9601504857101</v>
      </c>
      <c r="D49" s="6">
        <v>3720</v>
      </c>
      <c r="E49" s="7">
        <v>0.40563444905529839</v>
      </c>
      <c r="F49" s="7">
        <v>0.40563444905529839</v>
      </c>
      <c r="G49" s="7">
        <v>0.40563444905529839</v>
      </c>
    </row>
    <row r="50" spans="2:7" x14ac:dyDescent="0.25">
      <c r="B50" s="9" t="s">
        <v>53</v>
      </c>
      <c r="C50" s="6">
        <v>3448.7276040879401</v>
      </c>
      <c r="D50" s="6">
        <v>3000</v>
      </c>
      <c r="E50" s="7">
        <v>0.14957586802931336</v>
      </c>
      <c r="F50" s="7">
        <v>0.14957586802931336</v>
      </c>
      <c r="G50" s="7">
        <v>0.14957586802931336</v>
      </c>
    </row>
    <row r="51" spans="2:7" x14ac:dyDescent="0.25">
      <c r="B51" s="9" t="s">
        <v>54</v>
      </c>
      <c r="C51" s="6">
        <v>6358.0723603240704</v>
      </c>
      <c r="D51" s="6">
        <v>4800</v>
      </c>
      <c r="E51" s="7">
        <v>0.32459840840084797</v>
      </c>
      <c r="F51" s="7">
        <v>0.32459840840084797</v>
      </c>
      <c r="G51" s="7">
        <v>0.32459840840084797</v>
      </c>
    </row>
    <row r="52" spans="2:7" x14ac:dyDescent="0.25">
      <c r="B52" s="9" t="s">
        <v>55</v>
      </c>
      <c r="C52" s="6">
        <v>5966.3839876949596</v>
      </c>
      <c r="D52" s="6">
        <v>6720</v>
      </c>
      <c r="E52" s="7">
        <v>0.1121452399263453</v>
      </c>
      <c r="F52" s="7">
        <v>0.1121452399263453</v>
      </c>
      <c r="G52" s="7">
        <v>-0.1121452399263453</v>
      </c>
    </row>
    <row r="53" spans="2:7" x14ac:dyDescent="0.25">
      <c r="B53" s="9" t="s">
        <v>56</v>
      </c>
      <c r="C53" s="6">
        <v>2674.1605149064799</v>
      </c>
      <c r="D53" s="6">
        <v>2400</v>
      </c>
      <c r="E53" s="7">
        <v>0.11423354787769995</v>
      </c>
      <c r="F53" s="7">
        <v>0.11423354787769995</v>
      </c>
      <c r="G53" s="7">
        <v>0.11423354787769995</v>
      </c>
    </row>
    <row r="54" spans="2:7" x14ac:dyDescent="0.25">
      <c r="B54" s="9" t="s">
        <v>57</v>
      </c>
      <c r="C54" s="6">
        <v>6059.0537084090702</v>
      </c>
      <c r="D54" s="6">
        <v>7800</v>
      </c>
      <c r="E54" s="7">
        <v>0.22319824251165768</v>
      </c>
      <c r="F54" s="7">
        <v>0.22319824251165768</v>
      </c>
      <c r="G54" s="7">
        <v>-0.22319824251165768</v>
      </c>
    </row>
    <row r="55" spans="2:7" x14ac:dyDescent="0.25">
      <c r="B55" s="5" t="s">
        <v>33</v>
      </c>
      <c r="C55" s="6"/>
      <c r="D55" s="6"/>
      <c r="E55" s="7"/>
      <c r="F55" s="7"/>
      <c r="G55" s="7"/>
    </row>
    <row r="56" spans="2:7" x14ac:dyDescent="0.25">
      <c r="B56" s="9" t="s">
        <v>51</v>
      </c>
      <c r="C56" s="6">
        <v>2702.0542836682598</v>
      </c>
      <c r="D56" s="6">
        <v>1800</v>
      </c>
      <c r="E56" s="7">
        <v>0.50114126870458875</v>
      </c>
      <c r="F56" s="7">
        <v>0.50114126870458875</v>
      </c>
      <c r="G56" s="7">
        <v>0.50114126870458875</v>
      </c>
    </row>
    <row r="57" spans="2:7" x14ac:dyDescent="0.25">
      <c r="B57" s="9" t="s">
        <v>52</v>
      </c>
      <c r="C57" s="6">
        <v>3600.0081386765901</v>
      </c>
      <c r="D57" s="6">
        <v>7200</v>
      </c>
      <c r="E57" s="7">
        <v>0.49999886962825135</v>
      </c>
      <c r="F57" s="7">
        <v>0.49999886962825135</v>
      </c>
      <c r="G57" s="7">
        <v>-0.49999886962825135</v>
      </c>
    </row>
    <row r="58" spans="2:7" x14ac:dyDescent="0.25">
      <c r="B58" s="9" t="s">
        <v>53</v>
      </c>
      <c r="C58" s="6">
        <v>1528.7177462582799</v>
      </c>
      <c r="D58" s="6">
        <v>2640</v>
      </c>
      <c r="E58" s="7">
        <v>0.42094024762943943</v>
      </c>
      <c r="F58" s="7">
        <v>0.42094024762943943</v>
      </c>
      <c r="G58" s="7">
        <v>-0.42094024762943943</v>
      </c>
    </row>
    <row r="59" spans="2:7" x14ac:dyDescent="0.25">
      <c r="B59" s="9" t="s">
        <v>54</v>
      </c>
      <c r="C59" s="6">
        <v>4074.5178064551501</v>
      </c>
      <c r="D59" s="6">
        <v>6120</v>
      </c>
      <c r="E59" s="7">
        <v>0.33422911659229576</v>
      </c>
      <c r="F59" s="7">
        <v>0.33422911659229576</v>
      </c>
      <c r="G59" s="7">
        <v>-0.33422911659229576</v>
      </c>
    </row>
    <row r="60" spans="2:7" x14ac:dyDescent="0.25">
      <c r="B60" s="9" t="s">
        <v>55</v>
      </c>
      <c r="C60" s="6">
        <v>3383.0909731435499</v>
      </c>
      <c r="D60" s="6">
        <v>5400</v>
      </c>
      <c r="E60" s="7">
        <v>0.37350167164008335</v>
      </c>
      <c r="F60" s="7">
        <v>0.37350167164008335</v>
      </c>
      <c r="G60" s="7">
        <v>-0.37350167164008335</v>
      </c>
    </row>
    <row r="61" spans="2:7" x14ac:dyDescent="0.25">
      <c r="B61" s="9" t="s">
        <v>56</v>
      </c>
      <c r="C61" s="6">
        <v>1902.71242168052</v>
      </c>
      <c r="D61" s="6">
        <v>1200</v>
      </c>
      <c r="E61" s="7">
        <v>0.58559368473376672</v>
      </c>
      <c r="F61" s="7">
        <v>0.58559368473376672</v>
      </c>
      <c r="G61" s="7">
        <v>0.58559368473376672</v>
      </c>
    </row>
    <row r="62" spans="2:7" x14ac:dyDescent="0.25">
      <c r="B62" s="9" t="s">
        <v>57</v>
      </c>
      <c r="C62" s="6">
        <v>5741.6373249108601</v>
      </c>
      <c r="D62" s="6">
        <v>4200</v>
      </c>
      <c r="E62" s="7">
        <v>0.36705650593115718</v>
      </c>
      <c r="F62" s="7">
        <v>0.36705650593115718</v>
      </c>
      <c r="G62" s="7">
        <v>0.36705650593115718</v>
      </c>
    </row>
    <row r="63" spans="2:7" x14ac:dyDescent="0.25">
      <c r="B63" s="5" t="s">
        <v>35</v>
      </c>
      <c r="C63" s="6"/>
      <c r="D63" s="6"/>
      <c r="E63" s="7"/>
      <c r="F63" s="7"/>
      <c r="G63" s="7"/>
    </row>
    <row r="64" spans="2:7" x14ac:dyDescent="0.25">
      <c r="B64" s="9" t="s">
        <v>51</v>
      </c>
      <c r="C64" s="6">
        <v>2777.7834798683398</v>
      </c>
      <c r="D64" s="6">
        <v>2520</v>
      </c>
      <c r="E64" s="7">
        <v>0.10229503169378563</v>
      </c>
      <c r="F64" s="7">
        <v>0.10229503169378563</v>
      </c>
      <c r="G64" s="7">
        <v>0.10229503169378563</v>
      </c>
    </row>
    <row r="65" spans="2:7" x14ac:dyDescent="0.25">
      <c r="B65" s="9" t="s">
        <v>52</v>
      </c>
      <c r="C65" s="6">
        <v>1829.46013329787</v>
      </c>
      <c r="D65" s="6">
        <v>1200</v>
      </c>
      <c r="E65" s="7">
        <v>0.52455011108155836</v>
      </c>
      <c r="F65" s="7">
        <v>0.52455011108155836</v>
      </c>
      <c r="G65" s="7">
        <v>0.52455011108155836</v>
      </c>
    </row>
    <row r="66" spans="2:7" x14ac:dyDescent="0.25">
      <c r="B66" s="9" t="s">
        <v>53</v>
      </c>
      <c r="C66" s="6">
        <v>851.92505899821299</v>
      </c>
      <c r="D66" s="6">
        <v>0</v>
      </c>
      <c r="E66" s="7"/>
      <c r="F66" s="7"/>
      <c r="G66" s="7"/>
    </row>
    <row r="67" spans="2:7" x14ac:dyDescent="0.25">
      <c r="B67" s="9" t="s">
        <v>54</v>
      </c>
      <c r="C67" s="6">
        <v>1926.97769919644</v>
      </c>
      <c r="D67" s="6">
        <v>2400</v>
      </c>
      <c r="E67" s="7">
        <v>0.19709262533481667</v>
      </c>
      <c r="F67" s="7">
        <v>0.19709262533481667</v>
      </c>
      <c r="G67" s="7">
        <v>-0.19709262533481667</v>
      </c>
    </row>
    <row r="68" spans="2:7" x14ac:dyDescent="0.25">
      <c r="B68" s="9" t="s">
        <v>55</v>
      </c>
      <c r="C68" s="6">
        <v>2591.18767387971</v>
      </c>
      <c r="D68" s="6">
        <v>4440</v>
      </c>
      <c r="E68" s="7">
        <v>0.41639917254961484</v>
      </c>
      <c r="F68" s="7">
        <v>0.41639917254961484</v>
      </c>
      <c r="G68" s="7">
        <v>-0.41639917254961484</v>
      </c>
    </row>
    <row r="69" spans="2:7" x14ac:dyDescent="0.25">
      <c r="B69" s="9" t="s">
        <v>56</v>
      </c>
      <c r="C69" s="6">
        <v>1500.17973580376</v>
      </c>
      <c r="D69" s="6">
        <v>1920</v>
      </c>
      <c r="E69" s="7">
        <v>0.21865638760220835</v>
      </c>
      <c r="F69" s="7">
        <v>0.21865638760220835</v>
      </c>
      <c r="G69" s="7">
        <v>-0.21865638760220835</v>
      </c>
    </row>
    <row r="70" spans="2:7" x14ac:dyDescent="0.25">
      <c r="B70" s="9" t="s">
        <v>57</v>
      </c>
      <c r="C70" s="6">
        <v>2263.4868148597202</v>
      </c>
      <c r="D70" s="6">
        <v>1800</v>
      </c>
      <c r="E70" s="7">
        <v>0.25749267492206679</v>
      </c>
      <c r="F70" s="7">
        <v>0.25749267492206679</v>
      </c>
      <c r="G70" s="7">
        <v>0.25749267492206679</v>
      </c>
    </row>
    <row r="71" spans="2:7" x14ac:dyDescent="0.25">
      <c r="B71" s="5" t="s">
        <v>37</v>
      </c>
      <c r="C71" s="6"/>
      <c r="D71" s="6"/>
      <c r="E71" s="7"/>
      <c r="F71" s="7"/>
      <c r="G71" s="7"/>
    </row>
    <row r="72" spans="2:7" x14ac:dyDescent="0.25">
      <c r="B72" s="9" t="s">
        <v>51</v>
      </c>
      <c r="C72" s="6">
        <v>1788.4498797915501</v>
      </c>
      <c r="D72" s="6">
        <v>3360</v>
      </c>
      <c r="E72" s="7">
        <v>0.46772325006203869</v>
      </c>
      <c r="F72" s="7">
        <v>0.46772325006203869</v>
      </c>
      <c r="G72" s="7">
        <v>-0.46772325006203869</v>
      </c>
    </row>
    <row r="73" spans="2:7" x14ac:dyDescent="0.25">
      <c r="B73" s="9" t="s">
        <v>52</v>
      </c>
      <c r="C73" s="6">
        <v>2163.3224597305998</v>
      </c>
      <c r="D73" s="6">
        <v>1800</v>
      </c>
      <c r="E73" s="7">
        <v>0.20184581096144433</v>
      </c>
      <c r="F73" s="7">
        <v>0.20184581096144433</v>
      </c>
      <c r="G73" s="7">
        <v>0.20184581096144433</v>
      </c>
    </row>
    <row r="74" spans="2:7" x14ac:dyDescent="0.25">
      <c r="B74" s="9" t="s">
        <v>53</v>
      </c>
      <c r="C74" s="6">
        <v>1849.7833991980799</v>
      </c>
      <c r="D74" s="6">
        <v>1800</v>
      </c>
      <c r="E74" s="7">
        <v>2.765744399893328E-2</v>
      </c>
      <c r="F74" s="7">
        <v>2.765744399893328E-2</v>
      </c>
      <c r="G74" s="7">
        <v>2.765744399893328E-2</v>
      </c>
    </row>
    <row r="75" spans="2:7" x14ac:dyDescent="0.25">
      <c r="B75" s="9" t="s">
        <v>54</v>
      </c>
      <c r="C75" s="6">
        <v>2112.0238183175602</v>
      </c>
      <c r="D75" s="6">
        <v>2160</v>
      </c>
      <c r="E75" s="7">
        <v>2.221119522335176E-2</v>
      </c>
      <c r="F75" s="7">
        <v>2.221119522335176E-2</v>
      </c>
      <c r="G75" s="7">
        <v>-2.221119522335176E-2</v>
      </c>
    </row>
    <row r="76" spans="2:7" x14ac:dyDescent="0.25">
      <c r="B76" s="9" t="s">
        <v>55</v>
      </c>
      <c r="C76" s="6">
        <v>1892.68898551186</v>
      </c>
      <c r="D76" s="6">
        <v>3480</v>
      </c>
      <c r="E76" s="7">
        <v>0.45612385473797129</v>
      </c>
      <c r="F76" s="7">
        <v>0.45612385473797129</v>
      </c>
      <c r="G76" s="7">
        <v>-0.45612385473797129</v>
      </c>
    </row>
    <row r="77" spans="2:7" x14ac:dyDescent="0.25">
      <c r="B77" s="9" t="s">
        <v>56</v>
      </c>
      <c r="C77" s="6">
        <v>2076.1380855530901</v>
      </c>
      <c r="D77" s="6">
        <v>1920</v>
      </c>
      <c r="E77" s="7">
        <v>8.1321919558901126E-2</v>
      </c>
      <c r="F77" s="7">
        <v>8.1321919558901126E-2</v>
      </c>
      <c r="G77" s="7">
        <v>8.1321919558901126E-2</v>
      </c>
    </row>
    <row r="78" spans="2:7" x14ac:dyDescent="0.25">
      <c r="B78" s="9" t="s">
        <v>57</v>
      </c>
      <c r="C78" s="6">
        <v>1922.70339451269</v>
      </c>
      <c r="D78" s="6">
        <v>1560</v>
      </c>
      <c r="E78" s="7">
        <v>0.2325021759696731</v>
      </c>
      <c r="F78" s="7">
        <v>0.2325021759696731</v>
      </c>
      <c r="G78" s="7">
        <v>0.2325021759696731</v>
      </c>
    </row>
    <row r="79" spans="2:7" x14ac:dyDescent="0.25">
      <c r="B79" s="5" t="s">
        <v>38</v>
      </c>
      <c r="C79" s="6"/>
      <c r="D79" s="6"/>
      <c r="E79" s="7"/>
      <c r="F79" s="7"/>
      <c r="G79" s="7"/>
    </row>
    <row r="80" spans="2:7" x14ac:dyDescent="0.25">
      <c r="B80" s="9" t="s">
        <v>51</v>
      </c>
      <c r="C80" s="6">
        <v>14746.1481356922</v>
      </c>
      <c r="D80" s="6">
        <v>12000</v>
      </c>
      <c r="E80" s="7">
        <v>0.22884567797434996</v>
      </c>
      <c r="F80" s="7">
        <v>0.22884567797434996</v>
      </c>
      <c r="G80" s="7">
        <v>0.22884567797434996</v>
      </c>
    </row>
    <row r="81" spans="2:7" x14ac:dyDescent="0.25">
      <c r="B81" s="9" t="s">
        <v>52</v>
      </c>
      <c r="C81" s="6">
        <v>13474.629776538601</v>
      </c>
      <c r="D81" s="6">
        <v>18000</v>
      </c>
      <c r="E81" s="7">
        <v>0.25140945685896665</v>
      </c>
      <c r="F81" s="7">
        <v>0.25140945685896665</v>
      </c>
      <c r="G81" s="7">
        <v>-0.25140945685896665</v>
      </c>
    </row>
    <row r="82" spans="2:7" x14ac:dyDescent="0.25">
      <c r="B82" s="9" t="s">
        <v>53</v>
      </c>
      <c r="C82" s="6">
        <v>14330.2407438964</v>
      </c>
      <c r="D82" s="6">
        <v>9000</v>
      </c>
      <c r="E82" s="7">
        <v>0.59224897154404443</v>
      </c>
      <c r="F82" s="7">
        <v>0.59224897154404443</v>
      </c>
      <c r="G82" s="7">
        <v>0.59224897154404443</v>
      </c>
    </row>
    <row r="83" spans="2:7" x14ac:dyDescent="0.25">
      <c r="B83" s="9" t="s">
        <v>54</v>
      </c>
      <c r="C83" s="6">
        <v>13623.5860486129</v>
      </c>
      <c r="D83" s="6">
        <v>21000</v>
      </c>
      <c r="E83" s="7">
        <v>0.35125780720890948</v>
      </c>
      <c r="F83" s="7">
        <v>0.35125780720890948</v>
      </c>
      <c r="G83" s="7">
        <v>-0.35125780720890948</v>
      </c>
    </row>
    <row r="84" spans="2:7" x14ac:dyDescent="0.25">
      <c r="B84" s="9" t="s">
        <v>55</v>
      </c>
      <c r="C84" s="6">
        <v>14199.858391382</v>
      </c>
      <c r="D84" s="6">
        <v>15000</v>
      </c>
      <c r="E84" s="7">
        <v>5.3342773907866646E-2</v>
      </c>
      <c r="F84" s="7">
        <v>5.3342773907866646E-2</v>
      </c>
      <c r="G84" s="7">
        <v>-5.3342773907866646E-2</v>
      </c>
    </row>
    <row r="85" spans="2:7" x14ac:dyDescent="0.25">
      <c r="B85" s="9" t="s">
        <v>56</v>
      </c>
      <c r="C85" s="6">
        <v>13729.575025992801</v>
      </c>
      <c r="D85" s="6">
        <v>6000</v>
      </c>
      <c r="E85" s="7">
        <v>1.2882625043321334</v>
      </c>
      <c r="F85" s="7">
        <v>1.2882625043321334</v>
      </c>
      <c r="G85" s="7">
        <v>1.2882625043321334</v>
      </c>
    </row>
    <row r="86" spans="2:7" x14ac:dyDescent="0.25">
      <c r="B86" s="9" t="s">
        <v>57</v>
      </c>
      <c r="C86" s="6">
        <v>14113.3474547324</v>
      </c>
      <c r="D86" s="6">
        <v>9000</v>
      </c>
      <c r="E86" s="7">
        <v>0.56814971719248897</v>
      </c>
      <c r="F86" s="7">
        <v>0.56814971719248897</v>
      </c>
      <c r="G86" s="7">
        <v>0.56814971719248897</v>
      </c>
    </row>
    <row r="87" spans="2:7" x14ac:dyDescent="0.25">
      <c r="B87" s="5" t="s">
        <v>40</v>
      </c>
      <c r="C87" s="6"/>
      <c r="D87" s="6"/>
      <c r="E87" s="7"/>
      <c r="F87" s="7"/>
      <c r="G87" s="7"/>
    </row>
    <row r="88" spans="2:7" x14ac:dyDescent="0.25">
      <c r="B88" s="9" t="s">
        <v>51</v>
      </c>
      <c r="C88" s="6">
        <v>5032.1603758577003</v>
      </c>
      <c r="D88" s="6">
        <v>3750</v>
      </c>
      <c r="E88" s="7">
        <v>0.34190943356205339</v>
      </c>
      <c r="F88" s="7">
        <v>0.34190943356205339</v>
      </c>
      <c r="G88" s="7">
        <v>0.34190943356205339</v>
      </c>
    </row>
    <row r="89" spans="2:7" x14ac:dyDescent="0.25">
      <c r="B89" s="9" t="s">
        <v>52</v>
      </c>
      <c r="C89" s="6">
        <v>4949.3467949375699</v>
      </c>
      <c r="D89" s="6">
        <v>4800</v>
      </c>
      <c r="E89" s="7">
        <v>3.1113915611993736E-2</v>
      </c>
      <c r="F89" s="7">
        <v>3.1113915611993736E-2</v>
      </c>
      <c r="G89" s="7">
        <v>3.1113915611993736E-2</v>
      </c>
    </row>
    <row r="90" spans="2:7" x14ac:dyDescent="0.25">
      <c r="B90" s="9" t="s">
        <v>53</v>
      </c>
      <c r="C90" s="6">
        <v>5026.6433685158299</v>
      </c>
      <c r="D90" s="6">
        <v>4800</v>
      </c>
      <c r="E90" s="7">
        <v>4.7217368440797901E-2</v>
      </c>
      <c r="F90" s="7">
        <v>4.7217368440797901E-2</v>
      </c>
      <c r="G90" s="7">
        <v>4.7217368440797901E-2</v>
      </c>
    </row>
    <row r="91" spans="2:7" x14ac:dyDescent="0.25">
      <c r="B91" s="9" t="s">
        <v>54</v>
      </c>
      <c r="C91" s="6">
        <v>5027.7592436941004</v>
      </c>
      <c r="D91" s="6">
        <v>5250</v>
      </c>
      <c r="E91" s="7">
        <v>4.2331572629695162E-2</v>
      </c>
      <c r="F91" s="7">
        <v>4.2331572629695162E-2</v>
      </c>
      <c r="G91" s="7">
        <v>-4.2331572629695162E-2</v>
      </c>
    </row>
    <row r="92" spans="2:7" x14ac:dyDescent="0.25">
      <c r="B92" s="9" t="s">
        <v>55</v>
      </c>
      <c r="C92" s="6">
        <v>5019.2245333912597</v>
      </c>
      <c r="D92" s="6">
        <v>4500</v>
      </c>
      <c r="E92" s="7">
        <v>0.11538322964250215</v>
      </c>
      <c r="F92" s="7">
        <v>0.11538322964250215</v>
      </c>
      <c r="G92" s="7">
        <v>0.11538322964250215</v>
      </c>
    </row>
    <row r="93" spans="2:7" x14ac:dyDescent="0.25">
      <c r="B93" s="9" t="s">
        <v>56</v>
      </c>
      <c r="C93" s="6">
        <v>5017.0849351731104</v>
      </c>
      <c r="D93" s="6">
        <v>3000</v>
      </c>
      <c r="E93" s="7">
        <v>0.67236164505770346</v>
      </c>
      <c r="F93" s="7">
        <v>0.67236164505770346</v>
      </c>
      <c r="G93" s="7">
        <v>0.67236164505770346</v>
      </c>
    </row>
    <row r="94" spans="2:7" x14ac:dyDescent="0.25">
      <c r="B94" s="9" t="s">
        <v>57</v>
      </c>
      <c r="C94" s="6">
        <v>5015.45616794534</v>
      </c>
      <c r="D94" s="6">
        <v>4500</v>
      </c>
      <c r="E94" s="7">
        <v>0.11454581509896444</v>
      </c>
      <c r="F94" s="7">
        <v>0.11454581509896444</v>
      </c>
      <c r="G94" s="7">
        <v>0.11454581509896444</v>
      </c>
    </row>
    <row r="95" spans="2:7" x14ac:dyDescent="0.25">
      <c r="B95" s="5" t="s">
        <v>41</v>
      </c>
      <c r="C95" s="6"/>
      <c r="D95" s="6"/>
      <c r="E95" s="7"/>
      <c r="F95" s="7"/>
      <c r="G95" s="7"/>
    </row>
    <row r="96" spans="2:7" x14ac:dyDescent="0.25">
      <c r="B96" s="9" t="s">
        <v>51</v>
      </c>
      <c r="C96" s="6">
        <v>12528.9438033565</v>
      </c>
      <c r="D96" s="6">
        <v>12000</v>
      </c>
      <c r="E96" s="7">
        <v>4.4078650279708351E-2</v>
      </c>
      <c r="F96" s="7">
        <v>4.4078650279708351E-2</v>
      </c>
      <c r="G96" s="7">
        <v>4.4078650279708351E-2</v>
      </c>
    </row>
    <row r="97" spans="2:7" x14ac:dyDescent="0.25">
      <c r="B97" s="9" t="s">
        <v>52</v>
      </c>
      <c r="C97" s="6">
        <v>17288.6929996459</v>
      </c>
      <c r="D97" s="6">
        <v>18000</v>
      </c>
      <c r="E97" s="7">
        <v>3.9517055575227764E-2</v>
      </c>
      <c r="F97" s="7">
        <v>3.9517055575227764E-2</v>
      </c>
      <c r="G97" s="7">
        <v>-3.9517055575227764E-2</v>
      </c>
    </row>
    <row r="98" spans="2:7" x14ac:dyDescent="0.25">
      <c r="B98" s="9" t="s">
        <v>53</v>
      </c>
      <c r="C98" s="6">
        <v>9591.6278330326604</v>
      </c>
      <c r="D98" s="6">
        <v>9000</v>
      </c>
      <c r="E98" s="7">
        <v>6.5736425892517825E-2</v>
      </c>
      <c r="F98" s="7">
        <v>6.5736425892517825E-2</v>
      </c>
      <c r="G98" s="7">
        <v>6.5736425892517825E-2</v>
      </c>
    </row>
    <row r="99" spans="2:7" x14ac:dyDescent="0.25">
      <c r="B99" s="9" t="s">
        <v>54</v>
      </c>
      <c r="C99" s="6">
        <v>15394.786209501901</v>
      </c>
      <c r="D99" s="6">
        <v>13200</v>
      </c>
      <c r="E99" s="7">
        <v>0.1662716825380228</v>
      </c>
      <c r="F99" s="7">
        <v>0.1662716825380228</v>
      </c>
      <c r="G99" s="7">
        <v>0.1662716825380228</v>
      </c>
    </row>
    <row r="100" spans="2:7" x14ac:dyDescent="0.25">
      <c r="B100" s="9" t="s">
        <v>55</v>
      </c>
      <c r="C100" s="6">
        <v>12499.081896644901</v>
      </c>
      <c r="D100" s="6">
        <v>13200</v>
      </c>
      <c r="E100" s="7">
        <v>5.3099856314780258E-2</v>
      </c>
      <c r="F100" s="7">
        <v>5.3099856314780258E-2</v>
      </c>
      <c r="G100" s="7">
        <v>-5.3099856314780258E-2</v>
      </c>
    </row>
    <row r="101" spans="2:7" x14ac:dyDescent="0.25">
      <c r="B101" s="9" t="s">
        <v>56</v>
      </c>
      <c r="C101" s="6">
        <v>15095.517533950901</v>
      </c>
      <c r="D101" s="6">
        <v>21000</v>
      </c>
      <c r="E101" s="7">
        <v>0.28116583171662379</v>
      </c>
      <c r="F101" s="7">
        <v>0.28116583171662379</v>
      </c>
      <c r="G101" s="7">
        <v>-0.28116583171662379</v>
      </c>
    </row>
    <row r="102" spans="2:7" x14ac:dyDescent="0.25">
      <c r="B102" s="9" t="s">
        <v>57</v>
      </c>
      <c r="C102" s="6">
        <v>14505.706037005701</v>
      </c>
      <c r="D102" s="6">
        <v>15000</v>
      </c>
      <c r="E102" s="7">
        <v>3.2952930866286624E-2</v>
      </c>
      <c r="F102" s="7">
        <v>3.2952930866286624E-2</v>
      </c>
      <c r="G102" s="7">
        <v>-3.2952930866286624E-2</v>
      </c>
    </row>
    <row r="103" spans="2:7" x14ac:dyDescent="0.25">
      <c r="B103" s="5" t="s">
        <v>43</v>
      </c>
      <c r="C103" s="6"/>
      <c r="D103" s="6"/>
      <c r="E103" s="7"/>
      <c r="F103" s="7"/>
      <c r="G103" s="7"/>
    </row>
    <row r="104" spans="2:7" x14ac:dyDescent="0.25">
      <c r="B104" s="9" t="s">
        <v>51</v>
      </c>
      <c r="C104" s="6">
        <v>2554.4443958842498</v>
      </c>
      <c r="D104" s="6">
        <v>3750</v>
      </c>
      <c r="E104" s="7">
        <v>0.31881482776420006</v>
      </c>
      <c r="F104" s="7">
        <v>0.31881482776420006</v>
      </c>
      <c r="G104" s="7">
        <v>-0.31881482776420006</v>
      </c>
    </row>
    <row r="105" spans="2:7" x14ac:dyDescent="0.25">
      <c r="B105" s="9" t="s">
        <v>52</v>
      </c>
      <c r="C105" s="6">
        <v>3280.0897473397499</v>
      </c>
      <c r="D105" s="6">
        <v>3300</v>
      </c>
      <c r="E105" s="7">
        <v>6.0334098970454787E-3</v>
      </c>
      <c r="F105" s="7">
        <v>6.0334098970454787E-3</v>
      </c>
      <c r="G105" s="7">
        <v>-6.0334098970454787E-3</v>
      </c>
    </row>
    <row r="106" spans="2:7" x14ac:dyDescent="0.25">
      <c r="B106" s="9" t="s">
        <v>53</v>
      </c>
      <c r="C106" s="6">
        <v>1466.3132727594</v>
      </c>
      <c r="D106" s="6">
        <v>1500</v>
      </c>
      <c r="E106" s="7">
        <v>2.2457818160400014E-2</v>
      </c>
      <c r="F106" s="7">
        <v>2.2457818160400014E-2</v>
      </c>
      <c r="G106" s="7">
        <v>-2.2457818160400014E-2</v>
      </c>
    </row>
    <row r="107" spans="2:7" x14ac:dyDescent="0.25">
      <c r="B107" s="9" t="s">
        <v>54</v>
      </c>
      <c r="C107" s="6">
        <v>3107.2027909972298</v>
      </c>
      <c r="D107" s="6">
        <v>3900</v>
      </c>
      <c r="E107" s="7">
        <v>0.20328133564173595</v>
      </c>
      <c r="F107" s="7">
        <v>0.20328133564173595</v>
      </c>
      <c r="G107" s="7">
        <v>-0.20328133564173595</v>
      </c>
    </row>
    <row r="108" spans="2:7" x14ac:dyDescent="0.25">
      <c r="B108" s="9" t="s">
        <v>55</v>
      </c>
      <c r="C108" s="6">
        <v>2247.01869254336</v>
      </c>
      <c r="D108" s="6">
        <v>3150</v>
      </c>
      <c r="E108" s="7">
        <v>0.28666073252591745</v>
      </c>
      <c r="F108" s="7">
        <v>0.28666073252591745</v>
      </c>
      <c r="G108" s="7">
        <v>-0.28666073252591745</v>
      </c>
    </row>
    <row r="109" spans="2:7" x14ac:dyDescent="0.25">
      <c r="B109" s="9" t="s">
        <v>56</v>
      </c>
      <c r="C109" s="6">
        <v>2027.9110340597299</v>
      </c>
      <c r="D109" s="6">
        <v>2250</v>
      </c>
      <c r="E109" s="7">
        <v>9.8706207084564485E-2</v>
      </c>
      <c r="F109" s="7">
        <v>9.8706207084564485E-2</v>
      </c>
      <c r="G109" s="7">
        <v>-9.8706207084564485E-2</v>
      </c>
    </row>
    <row r="110" spans="2:7" x14ac:dyDescent="0.25">
      <c r="B110" s="9" t="s">
        <v>57</v>
      </c>
      <c r="C110" s="6">
        <v>2444.72446522463</v>
      </c>
      <c r="D110" s="6">
        <v>3000</v>
      </c>
      <c r="E110" s="7">
        <v>0.18509184492512334</v>
      </c>
      <c r="F110" s="7">
        <v>0.18509184492512334</v>
      </c>
      <c r="G110" s="7">
        <v>-0.18509184492512334</v>
      </c>
    </row>
    <row r="111" spans="2:7" x14ac:dyDescent="0.25">
      <c r="B111" s="5" t="s">
        <v>45</v>
      </c>
      <c r="C111" s="6"/>
      <c r="D111" s="6"/>
      <c r="E111" s="7"/>
      <c r="F111" s="7"/>
      <c r="G111" s="7"/>
    </row>
    <row r="112" spans="2:7" x14ac:dyDescent="0.25">
      <c r="B112" s="9" t="s">
        <v>51</v>
      </c>
      <c r="C112" s="6">
        <v>9924.2707755007305</v>
      </c>
      <c r="D112" s="6">
        <v>15000</v>
      </c>
      <c r="E112" s="7">
        <v>0.33838194829995133</v>
      </c>
      <c r="F112" s="7">
        <v>0.33838194829995133</v>
      </c>
      <c r="G112" s="7">
        <v>-0.33838194829995133</v>
      </c>
    </row>
    <row r="113" spans="2:7" x14ac:dyDescent="0.25">
      <c r="B113" s="9" t="s">
        <v>52</v>
      </c>
      <c r="C113" s="6">
        <v>9902.1670015093805</v>
      </c>
      <c r="D113" s="6">
        <v>15000</v>
      </c>
      <c r="E113" s="7">
        <v>0.33985553323270795</v>
      </c>
      <c r="F113" s="7">
        <v>0.33985553323270795</v>
      </c>
      <c r="G113" s="7">
        <v>-0.33985553323270795</v>
      </c>
    </row>
    <row r="114" spans="2:7" x14ac:dyDescent="0.25">
      <c r="B114" s="9" t="s">
        <v>53</v>
      </c>
      <c r="C114" s="6">
        <v>9902.1670015093805</v>
      </c>
      <c r="D114" s="6">
        <v>3000</v>
      </c>
      <c r="E114" s="7">
        <v>2.3007223338364602</v>
      </c>
      <c r="F114" s="7">
        <v>2.3007223338364602</v>
      </c>
      <c r="G114" s="7">
        <v>2.3007223338364602</v>
      </c>
    </row>
    <row r="115" spans="2:7" x14ac:dyDescent="0.25">
      <c r="B115" s="9" t="s">
        <v>54</v>
      </c>
      <c r="C115" s="6">
        <v>9902.1670015093805</v>
      </c>
      <c r="D115" s="6">
        <v>12000</v>
      </c>
      <c r="E115" s="7">
        <v>0.17481941654088495</v>
      </c>
      <c r="F115" s="7">
        <v>0.17481941654088495</v>
      </c>
      <c r="G115" s="7">
        <v>-0.17481941654088495</v>
      </c>
    </row>
    <row r="116" spans="2:7" x14ac:dyDescent="0.25">
      <c r="B116" s="9" t="s">
        <v>55</v>
      </c>
      <c r="C116" s="6">
        <v>9902.1670015093805</v>
      </c>
      <c r="D116" s="6">
        <v>12000</v>
      </c>
      <c r="E116" s="7">
        <v>0.17481941654088495</v>
      </c>
      <c r="F116" s="7">
        <v>0.17481941654088495</v>
      </c>
      <c r="G116" s="7">
        <v>-0.17481941654088495</v>
      </c>
    </row>
    <row r="117" spans="2:7" x14ac:dyDescent="0.25">
      <c r="B117" s="9" t="s">
        <v>56</v>
      </c>
      <c r="C117" s="6">
        <v>9902.1670015093805</v>
      </c>
      <c r="D117" s="6">
        <v>3000</v>
      </c>
      <c r="E117" s="7">
        <v>2.3007223338364602</v>
      </c>
      <c r="F117" s="7">
        <v>2.3007223338364602</v>
      </c>
      <c r="G117" s="7">
        <v>2.3007223338364602</v>
      </c>
    </row>
    <row r="118" spans="2:7" x14ac:dyDescent="0.25">
      <c r="B118" s="9" t="s">
        <v>57</v>
      </c>
      <c r="C118" s="6">
        <v>9902.1670015093805</v>
      </c>
      <c r="D118" s="6">
        <v>10200</v>
      </c>
      <c r="E118" s="7">
        <v>2.9199313577511717E-2</v>
      </c>
      <c r="F118" s="7">
        <v>2.9199313577511717E-2</v>
      </c>
      <c r="G118" s="7">
        <v>-2.9199313577511717E-2</v>
      </c>
    </row>
    <row r="119" spans="2:7" x14ac:dyDescent="0.25">
      <c r="B119" s="5" t="s">
        <v>47</v>
      </c>
      <c r="C119" s="6"/>
      <c r="D119" s="6"/>
      <c r="E119" s="7"/>
      <c r="F119" s="7"/>
      <c r="G119" s="7"/>
    </row>
    <row r="120" spans="2:7" x14ac:dyDescent="0.25">
      <c r="B120" s="9" t="s">
        <v>51</v>
      </c>
      <c r="C120" s="6">
        <v>1330.8085839663199</v>
      </c>
      <c r="D120" s="6">
        <v>300</v>
      </c>
      <c r="E120" s="7">
        <v>3.4360286132210662</v>
      </c>
      <c r="F120" s="7">
        <v>3.4360286132210662</v>
      </c>
      <c r="G120" s="7">
        <v>3.4360286132210662</v>
      </c>
    </row>
    <row r="121" spans="2:7" x14ac:dyDescent="0.25">
      <c r="B121" s="9" t="s">
        <v>52</v>
      </c>
      <c r="C121" s="6">
        <v>395.85826425224798</v>
      </c>
      <c r="D121" s="6">
        <v>600</v>
      </c>
      <c r="E121" s="7">
        <v>0.34023622624625338</v>
      </c>
      <c r="F121" s="7">
        <v>0.34023622624625338</v>
      </c>
      <c r="G121" s="7">
        <v>-0.34023622624625338</v>
      </c>
    </row>
    <row r="122" spans="2:7" x14ac:dyDescent="0.25">
      <c r="B122" s="9" t="s">
        <v>53</v>
      </c>
      <c r="C122" s="6">
        <v>242.66175429473699</v>
      </c>
      <c r="D122" s="6">
        <v>0</v>
      </c>
      <c r="E122" s="7"/>
      <c r="F122" s="7"/>
      <c r="G122" s="7"/>
    </row>
    <row r="123" spans="2:7" x14ac:dyDescent="0.25">
      <c r="B123" s="9" t="s">
        <v>54</v>
      </c>
      <c r="C123" s="6">
        <v>700.46915054018098</v>
      </c>
      <c r="D123" s="6">
        <v>0</v>
      </c>
      <c r="E123" s="7"/>
      <c r="F123" s="7"/>
      <c r="G123" s="7"/>
    </row>
    <row r="124" spans="2:7" x14ac:dyDescent="0.25">
      <c r="B124" s="9" t="s">
        <v>55</v>
      </c>
      <c r="C124" s="6">
        <v>2151.4172792049299</v>
      </c>
      <c r="D124" s="6">
        <v>4500</v>
      </c>
      <c r="E124" s="7">
        <v>0.52190727128779335</v>
      </c>
      <c r="F124" s="7">
        <v>0.52190727128779335</v>
      </c>
      <c r="G124" s="7">
        <v>-0.52190727128779335</v>
      </c>
    </row>
    <row r="125" spans="2:7" x14ac:dyDescent="0.25">
      <c r="B125" s="9" t="s">
        <v>56</v>
      </c>
      <c r="C125" s="6">
        <v>1214.3822892600799</v>
      </c>
      <c r="D125" s="6">
        <v>5160</v>
      </c>
      <c r="E125" s="7">
        <v>0.76465459510463563</v>
      </c>
      <c r="F125" s="7">
        <v>0.76465459510463563</v>
      </c>
      <c r="G125" s="7">
        <v>-0.76465459510463563</v>
      </c>
    </row>
    <row r="126" spans="2:7" x14ac:dyDescent="0.25">
      <c r="B126" s="9" t="s">
        <v>57</v>
      </c>
      <c r="C126" s="6">
        <v>871.69094882300703</v>
      </c>
      <c r="D126" s="6">
        <v>4200</v>
      </c>
      <c r="E126" s="7">
        <v>0.79245453599452209</v>
      </c>
      <c r="F126" s="7">
        <v>0.79245453599452209</v>
      </c>
      <c r="G126" s="7">
        <v>-0.79245453599452209</v>
      </c>
    </row>
    <row r="127" spans="2:7" x14ac:dyDescent="0.25">
      <c r="B127" s="5" t="s">
        <v>49</v>
      </c>
      <c r="C127" s="6"/>
      <c r="D127" s="6"/>
      <c r="E127" s="7"/>
      <c r="F127" s="7"/>
      <c r="G127" s="7"/>
    </row>
    <row r="128" spans="2:7" x14ac:dyDescent="0.25">
      <c r="B128" s="9" t="s">
        <v>51</v>
      </c>
      <c r="C128" s="6">
        <v>1535.2099689751301</v>
      </c>
      <c r="D128" s="6">
        <v>0</v>
      </c>
      <c r="E128" s="7"/>
      <c r="F128" s="7"/>
      <c r="G128" s="7"/>
    </row>
    <row r="129" spans="2:7" x14ac:dyDescent="0.25">
      <c r="B129" s="9" t="s">
        <v>52</v>
      </c>
      <c r="C129" s="6">
        <v>1551.27302029422</v>
      </c>
      <c r="D129" s="6">
        <v>1680</v>
      </c>
      <c r="E129" s="7">
        <v>7.6623202205821403E-2</v>
      </c>
      <c r="F129" s="7">
        <v>7.6623202205821403E-2</v>
      </c>
      <c r="G129" s="7">
        <v>-7.6623202205821403E-2</v>
      </c>
    </row>
    <row r="130" spans="2:7" x14ac:dyDescent="0.25">
      <c r="B130" s="9" t="s">
        <v>53</v>
      </c>
      <c r="C130" s="6">
        <v>1500.35678638693</v>
      </c>
      <c r="D130" s="6">
        <v>420</v>
      </c>
      <c r="E130" s="7">
        <v>2.5722780628260238</v>
      </c>
      <c r="F130" s="7">
        <v>2.5722780628260238</v>
      </c>
      <c r="G130" s="7">
        <v>2.5722780628260238</v>
      </c>
    </row>
    <row r="131" spans="2:7" x14ac:dyDescent="0.25">
      <c r="B131" s="9" t="s">
        <v>54</v>
      </c>
      <c r="C131" s="6">
        <v>2021.4574340751401</v>
      </c>
      <c r="D131" s="6">
        <v>1200</v>
      </c>
      <c r="E131" s="7">
        <v>0.68454786172928339</v>
      </c>
      <c r="F131" s="7">
        <v>0.68454786172928339</v>
      </c>
      <c r="G131" s="7">
        <v>0.68454786172928339</v>
      </c>
    </row>
    <row r="132" spans="2:7" x14ac:dyDescent="0.25">
      <c r="B132" s="9" t="s">
        <v>55</v>
      </c>
      <c r="C132" s="6">
        <v>1583.23490821925</v>
      </c>
      <c r="D132" s="6">
        <v>1200</v>
      </c>
      <c r="E132" s="7">
        <v>0.31936242351604166</v>
      </c>
      <c r="F132" s="7">
        <v>0.31936242351604166</v>
      </c>
      <c r="G132" s="7">
        <v>0.31936242351604166</v>
      </c>
    </row>
    <row r="133" spans="2:7" x14ac:dyDescent="0.25">
      <c r="B133" s="9" t="s">
        <v>56</v>
      </c>
      <c r="C133" s="6">
        <v>1869.6288237998101</v>
      </c>
      <c r="D133" s="6">
        <v>2760</v>
      </c>
      <c r="E133" s="7">
        <v>0.32259825224644562</v>
      </c>
      <c r="F133" s="7">
        <v>0.32259825224644562</v>
      </c>
      <c r="G133" s="7">
        <v>-0.32259825224644562</v>
      </c>
    </row>
    <row r="134" spans="2:7" x14ac:dyDescent="0.25">
      <c r="B134" s="9" t="s">
        <v>57</v>
      </c>
      <c r="C134" s="6">
        <v>1646.70384360455</v>
      </c>
      <c r="D134" s="6">
        <v>120</v>
      </c>
      <c r="E134" s="7">
        <v>12.722532030037916</v>
      </c>
      <c r="F134" s="7">
        <v>12.722532030037916</v>
      </c>
      <c r="G134" s="7">
        <v>12.722532030037916</v>
      </c>
    </row>
    <row r="135" spans="2:7" x14ac:dyDescent="0.25">
      <c r="B135" s="5" t="s">
        <v>62</v>
      </c>
      <c r="C135" s="6">
        <v>859611.34401513997</v>
      </c>
      <c r="D135" s="6">
        <v>915461</v>
      </c>
      <c r="E135" s="7">
        <v>0.30592736445933538</v>
      </c>
      <c r="F135" s="7">
        <v>6.1007138463419007E-2</v>
      </c>
      <c r="G135" s="7">
        <v>0.12259805049446547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O54"/>
  <sheetViews>
    <sheetView topLeftCell="A7" zoomScale="115" zoomScaleNormal="115" workbookViewId="0">
      <selection activeCell="H11" sqref="H11"/>
    </sheetView>
  </sheetViews>
  <sheetFormatPr baseColWidth="10" defaultRowHeight="15" outlineLevelCol="1" x14ac:dyDescent="0.25"/>
  <cols>
    <col min="1" max="1" width="11.42578125" style="2"/>
    <col min="3" max="3" width="28.42578125" bestFit="1" customWidth="1"/>
    <col min="4" max="6" width="11.42578125" customWidth="1" outlineLevel="1"/>
    <col min="7" max="7" width="12" customWidth="1"/>
    <col min="8" max="8" width="12" customWidth="1" outlineLevel="1"/>
    <col min="9" max="9" width="14.85546875" bestFit="1" customWidth="1"/>
  </cols>
  <sheetData>
    <row r="2" spans="1:15" x14ac:dyDescent="0.25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3" t="s">
        <v>61</v>
      </c>
    </row>
    <row r="3" spans="1:15" x14ac:dyDescent="0.25">
      <c r="A3" s="2">
        <v>1</v>
      </c>
      <c r="B3" t="s">
        <v>6</v>
      </c>
      <c r="C3" t="s">
        <v>7</v>
      </c>
      <c r="D3">
        <v>3925.7900359975602</v>
      </c>
      <c r="E3">
        <v>4127.5523510104476</v>
      </c>
      <c r="F3">
        <v>25.56942245630032</v>
      </c>
      <c r="G3" t="s">
        <v>5</v>
      </c>
      <c r="H3">
        <f>_xlfn.XLOOKUP($B3,'raw data results'!$A:$A,'raw data results'!F:F)</f>
        <v>11785.1044613049</v>
      </c>
      <c r="I3">
        <f>_xlfn.XLOOKUP($B3,'raw data results'!$A:$A,'raw data results'!G:G)</f>
        <v>20775.7253323818</v>
      </c>
      <c r="J3">
        <f>_xlfn.XLOOKUP($B3,'raw data results'!$A:$A,'raw data results'!H:H)</f>
        <v>8548.4634405929501</v>
      </c>
      <c r="K3">
        <f>_xlfn.XLOOKUP($B3,'raw data results'!$A:$A,'raw data results'!I:I)</f>
        <v>27284.170942641202</v>
      </c>
      <c r="L3">
        <f>_xlfn.XLOOKUP($B3,'raw data results'!$A:$A,'raw data results'!J:J)</f>
        <v>23235.200874748301</v>
      </c>
      <c r="M3">
        <f>_xlfn.XLOOKUP($B3,'raw data results'!$A:$A,'raw data results'!K:K)</f>
        <v>20879.168781847002</v>
      </c>
      <c r="N3">
        <f>_xlfn.XLOOKUP($B3,'raw data results'!$A:$A,'raw data results'!L:L)</f>
        <v>16005.330436297299</v>
      </c>
      <c r="O3">
        <f>SUM(H3:N3)</f>
        <v>128513.16426981347</v>
      </c>
    </row>
    <row r="4" spans="1:15" x14ac:dyDescent="0.25">
      <c r="B4" t="s">
        <v>6</v>
      </c>
      <c r="G4" t="s">
        <v>60</v>
      </c>
      <c r="H4">
        <v>10800</v>
      </c>
      <c r="I4">
        <v>18000</v>
      </c>
      <c r="J4">
        <v>12000</v>
      </c>
      <c r="K4">
        <v>28320</v>
      </c>
      <c r="L4">
        <v>25800</v>
      </c>
      <c r="M4">
        <v>25800</v>
      </c>
      <c r="N4">
        <v>19800</v>
      </c>
      <c r="O4">
        <f t="shared" ref="O4:O46" si="0">SUM(H4:N4)</f>
        <v>140520</v>
      </c>
    </row>
    <row r="5" spans="1:15" x14ac:dyDescent="0.25">
      <c r="A5" s="2">
        <v>2</v>
      </c>
      <c r="B5" t="s">
        <v>27</v>
      </c>
      <c r="C5" t="s">
        <v>11</v>
      </c>
      <c r="D5">
        <v>989.15969777489931</v>
      </c>
      <c r="E5">
        <v>1182.289171929961</v>
      </c>
      <c r="F5">
        <v>34.357923627152111</v>
      </c>
      <c r="G5" t="s">
        <v>5</v>
      </c>
      <c r="H5">
        <f>_xlfn.XLOOKUP($B5,'raw data results'!$A:$A,'raw data results'!F:F)</f>
        <v>4244.9721539972797</v>
      </c>
      <c r="I5">
        <f>_xlfn.XLOOKUP($B5,'raw data results'!$A:$A,'raw data results'!G:G)</f>
        <v>4951.5757395134897</v>
      </c>
      <c r="J5">
        <f>_xlfn.XLOOKUP($B5,'raw data results'!$A:$A,'raw data results'!H:H)</f>
        <v>3299.9912990818002</v>
      </c>
      <c r="K5">
        <f>_xlfn.XLOOKUP($B5,'raw data results'!$A:$A,'raw data results'!I:I)</f>
        <v>5190.8371963485897</v>
      </c>
      <c r="L5">
        <f>_xlfn.XLOOKUP($B5,'raw data results'!$A:$A,'raw data results'!J:J)</f>
        <v>4326.4615921160803</v>
      </c>
      <c r="M5">
        <f>_xlfn.XLOOKUP($B5,'raw data results'!$A:$A,'raw data results'!K:K)</f>
        <v>4260.7554377544702</v>
      </c>
      <c r="N5">
        <f>_xlfn.XLOOKUP($B5,'raw data results'!$A:$A,'raw data results'!L:L)</f>
        <v>4403.4192293533697</v>
      </c>
      <c r="O5">
        <f t="shared" si="0"/>
        <v>30678.012648165077</v>
      </c>
    </row>
    <row r="6" spans="1:15" x14ac:dyDescent="0.25">
      <c r="B6" t="s">
        <v>27</v>
      </c>
      <c r="G6" t="s">
        <v>60</v>
      </c>
      <c r="H6">
        <v>6000</v>
      </c>
      <c r="I6">
        <v>7050</v>
      </c>
      <c r="J6">
        <v>6000</v>
      </c>
      <c r="K6">
        <v>5550</v>
      </c>
      <c r="L6">
        <v>4050</v>
      </c>
      <c r="M6">
        <v>2250</v>
      </c>
      <c r="N6">
        <v>3000</v>
      </c>
      <c r="O6">
        <f t="shared" si="0"/>
        <v>33900</v>
      </c>
    </row>
    <row r="7" spans="1:15" x14ac:dyDescent="0.25">
      <c r="A7" s="2">
        <v>3</v>
      </c>
      <c r="B7" t="s">
        <v>38</v>
      </c>
      <c r="C7" t="s">
        <v>39</v>
      </c>
      <c r="D7">
        <v>4618.5294569916614</v>
      </c>
      <c r="E7">
        <v>5226.9588533476044</v>
      </c>
      <c r="F7">
        <v>64.938720114147969</v>
      </c>
      <c r="G7" t="s">
        <v>5</v>
      </c>
      <c r="H7">
        <f>_xlfn.XLOOKUP($B7,'raw data results'!$A:$A,'raw data results'!F:F)</f>
        <v>14746.1481356922</v>
      </c>
      <c r="I7">
        <f>_xlfn.XLOOKUP($B7,'raw data results'!$A:$A,'raw data results'!G:G)</f>
        <v>13474.629776538601</v>
      </c>
      <c r="J7">
        <f>_xlfn.XLOOKUP($B7,'raw data results'!$A:$A,'raw data results'!H:H)</f>
        <v>14330.2407438964</v>
      </c>
      <c r="K7">
        <f>_xlfn.XLOOKUP($B7,'raw data results'!$A:$A,'raw data results'!I:I)</f>
        <v>13623.5860486129</v>
      </c>
      <c r="L7">
        <f>_xlfn.XLOOKUP($B7,'raw data results'!$A:$A,'raw data results'!J:J)</f>
        <v>14199.858391382</v>
      </c>
      <c r="M7">
        <f>_xlfn.XLOOKUP($B7,'raw data results'!$A:$A,'raw data results'!K:K)</f>
        <v>13729.575025992801</v>
      </c>
      <c r="N7">
        <f>_xlfn.XLOOKUP($B7,'raw data results'!$A:$A,'raw data results'!L:L)</f>
        <v>14113.3474547324</v>
      </c>
      <c r="O7">
        <f t="shared" si="0"/>
        <v>98217.3855768473</v>
      </c>
    </row>
    <row r="8" spans="1:15" x14ac:dyDescent="0.25">
      <c r="B8" t="s">
        <v>38</v>
      </c>
      <c r="G8" t="s">
        <v>60</v>
      </c>
      <c r="H8">
        <v>12000</v>
      </c>
      <c r="I8">
        <v>18000</v>
      </c>
      <c r="J8">
        <v>9000</v>
      </c>
      <c r="K8">
        <v>21000</v>
      </c>
      <c r="L8">
        <v>15000</v>
      </c>
      <c r="M8">
        <v>6000</v>
      </c>
      <c r="N8">
        <v>9000</v>
      </c>
      <c r="O8">
        <f t="shared" si="0"/>
        <v>90000</v>
      </c>
    </row>
    <row r="9" spans="1:15" x14ac:dyDescent="0.25">
      <c r="A9" s="2">
        <v>4</v>
      </c>
      <c r="B9" t="s">
        <v>40</v>
      </c>
      <c r="C9" t="s">
        <v>31</v>
      </c>
      <c r="D9">
        <v>1220.241812445295</v>
      </c>
      <c r="E9">
        <v>1466.6586656585989</v>
      </c>
      <c r="F9">
        <v>32.756126858919252</v>
      </c>
      <c r="G9" t="s">
        <v>5</v>
      </c>
      <c r="H9">
        <f>_xlfn.XLOOKUP($B9,'raw data results'!$A:$A,'raw data results'!F:F)</f>
        <v>5032.1603758577003</v>
      </c>
      <c r="I9">
        <f>_xlfn.XLOOKUP($B9,'raw data results'!$A:$A,'raw data results'!G:G)</f>
        <v>4949.3467949375699</v>
      </c>
      <c r="J9">
        <f>_xlfn.XLOOKUP($B9,'raw data results'!$A:$A,'raw data results'!H:H)</f>
        <v>5026.6433685158299</v>
      </c>
      <c r="K9">
        <f>_xlfn.XLOOKUP($B9,'raw data results'!$A:$A,'raw data results'!I:I)</f>
        <v>5027.7592436941004</v>
      </c>
      <c r="L9">
        <f>_xlfn.XLOOKUP($B9,'raw data results'!$A:$A,'raw data results'!J:J)</f>
        <v>5019.2245333912597</v>
      </c>
      <c r="M9">
        <f>_xlfn.XLOOKUP($B9,'raw data results'!$A:$A,'raw data results'!K:K)</f>
        <v>5017.0849351731104</v>
      </c>
      <c r="N9">
        <f>_xlfn.XLOOKUP($B9,'raw data results'!$A:$A,'raw data results'!L:L)</f>
        <v>5015.45616794534</v>
      </c>
      <c r="O9">
        <f t="shared" si="0"/>
        <v>35087.675419514911</v>
      </c>
    </row>
    <row r="10" spans="1:15" x14ac:dyDescent="0.25">
      <c r="B10" t="s">
        <v>40</v>
      </c>
      <c r="G10" t="s">
        <v>60</v>
      </c>
      <c r="H10">
        <v>3750</v>
      </c>
      <c r="I10">
        <v>4800</v>
      </c>
      <c r="J10">
        <v>4800</v>
      </c>
      <c r="K10">
        <v>5250</v>
      </c>
      <c r="L10">
        <v>4500</v>
      </c>
      <c r="M10">
        <v>3000</v>
      </c>
      <c r="N10">
        <v>4500</v>
      </c>
      <c r="O10">
        <f t="shared" si="0"/>
        <v>30600</v>
      </c>
    </row>
    <row r="11" spans="1:15" x14ac:dyDescent="0.25">
      <c r="A11" s="2">
        <v>5</v>
      </c>
      <c r="B11" t="s">
        <v>41</v>
      </c>
      <c r="C11" t="s">
        <v>42</v>
      </c>
      <c r="D11">
        <v>2353.5581309654849</v>
      </c>
      <c r="E11">
        <v>3157.6619219648269</v>
      </c>
      <c r="F11">
        <v>25.146900039977101</v>
      </c>
      <c r="G11" t="s">
        <v>5</v>
      </c>
      <c r="H11">
        <f>_xlfn.XLOOKUP($B11,'raw data results'!$A:$A,'raw data results'!F:F)</f>
        <v>12528.9438033565</v>
      </c>
      <c r="I11">
        <f>_xlfn.XLOOKUP($B11,'raw data results'!$A:$A,'raw data results'!G:G)</f>
        <v>17288.6929996459</v>
      </c>
      <c r="J11">
        <f>_xlfn.XLOOKUP($B11,'raw data results'!$A:$A,'raw data results'!H:H)</f>
        <v>9591.6278330326604</v>
      </c>
      <c r="K11">
        <f>_xlfn.XLOOKUP($B11,'raw data results'!$A:$A,'raw data results'!I:I)</f>
        <v>15394.786209501901</v>
      </c>
      <c r="L11">
        <f>_xlfn.XLOOKUP($B11,'raw data results'!$A:$A,'raw data results'!J:J)</f>
        <v>12499.081896644901</v>
      </c>
      <c r="M11">
        <f>_xlfn.XLOOKUP($B11,'raw data results'!$A:$A,'raw data results'!K:K)</f>
        <v>15095.517533950901</v>
      </c>
      <c r="N11">
        <f>_xlfn.XLOOKUP($B11,'raw data results'!$A:$A,'raw data results'!L:L)</f>
        <v>14505.706037005701</v>
      </c>
      <c r="O11">
        <f t="shared" si="0"/>
        <v>96904.356313138458</v>
      </c>
    </row>
    <row r="12" spans="1:15" x14ac:dyDescent="0.25">
      <c r="B12" t="s">
        <v>41</v>
      </c>
      <c r="G12" t="s">
        <v>60</v>
      </c>
      <c r="H12">
        <v>12000</v>
      </c>
      <c r="I12">
        <v>18000</v>
      </c>
      <c r="J12">
        <v>9000</v>
      </c>
      <c r="K12">
        <v>13200</v>
      </c>
      <c r="L12">
        <v>13200</v>
      </c>
      <c r="M12">
        <v>21000</v>
      </c>
      <c r="N12">
        <v>15000</v>
      </c>
      <c r="O12">
        <f t="shared" si="0"/>
        <v>101400</v>
      </c>
    </row>
    <row r="13" spans="1:15" x14ac:dyDescent="0.25">
      <c r="A13" s="2">
        <v>6</v>
      </c>
      <c r="B13" t="s">
        <v>43</v>
      </c>
      <c r="C13" t="s">
        <v>44</v>
      </c>
      <c r="D13">
        <v>753.87503631855714</v>
      </c>
      <c r="E13">
        <v>857.07940067147956</v>
      </c>
      <c r="F13">
        <v>37.464813898128398</v>
      </c>
      <c r="G13" t="s">
        <v>5</v>
      </c>
      <c r="H13">
        <f>_xlfn.XLOOKUP($B13,'raw data results'!$A:$A,'raw data results'!F:F)</f>
        <v>2554.4443958842498</v>
      </c>
      <c r="I13">
        <f>_xlfn.XLOOKUP($B13,'raw data results'!$A:$A,'raw data results'!G:G)</f>
        <v>3280.0897473397499</v>
      </c>
      <c r="J13">
        <f>_xlfn.XLOOKUP($B13,'raw data results'!$A:$A,'raw data results'!H:H)</f>
        <v>1466.3132727594</v>
      </c>
      <c r="K13">
        <f>_xlfn.XLOOKUP($B13,'raw data results'!$A:$A,'raw data results'!I:I)</f>
        <v>3107.2027909972298</v>
      </c>
      <c r="L13">
        <f>_xlfn.XLOOKUP($B13,'raw data results'!$A:$A,'raw data results'!J:J)</f>
        <v>2247.01869254336</v>
      </c>
      <c r="M13">
        <f>_xlfn.XLOOKUP($B13,'raw data results'!$A:$A,'raw data results'!K:K)</f>
        <v>2027.9110340597299</v>
      </c>
      <c r="N13">
        <f>_xlfn.XLOOKUP($B13,'raw data results'!$A:$A,'raw data results'!L:L)</f>
        <v>2444.72446522463</v>
      </c>
      <c r="O13">
        <f t="shared" si="0"/>
        <v>17127.70439880835</v>
      </c>
    </row>
    <row r="14" spans="1:15" x14ac:dyDescent="0.25">
      <c r="B14" t="s">
        <v>43</v>
      </c>
      <c r="G14" t="s">
        <v>60</v>
      </c>
      <c r="H14">
        <v>3750</v>
      </c>
      <c r="I14">
        <v>3300</v>
      </c>
      <c r="J14">
        <v>1500</v>
      </c>
      <c r="K14">
        <v>3900</v>
      </c>
      <c r="L14">
        <v>3150</v>
      </c>
      <c r="M14">
        <v>2250</v>
      </c>
      <c r="N14">
        <v>3000</v>
      </c>
      <c r="O14">
        <f t="shared" si="0"/>
        <v>20850</v>
      </c>
    </row>
    <row r="15" spans="1:15" x14ac:dyDescent="0.25">
      <c r="A15" s="2">
        <v>7</v>
      </c>
      <c r="B15" t="s">
        <v>45</v>
      </c>
      <c r="C15" t="s">
        <v>46</v>
      </c>
      <c r="D15">
        <v>1956.1898671868439</v>
      </c>
      <c r="E15">
        <v>2190.928740080059</v>
      </c>
      <c r="F15">
        <v>34.711814135757031</v>
      </c>
      <c r="G15" t="s">
        <v>5</v>
      </c>
      <c r="H15">
        <f>_xlfn.XLOOKUP($B15,'raw data results'!$A:$A,'raw data results'!F:F)</f>
        <v>9924.2707755007305</v>
      </c>
      <c r="I15">
        <f>_xlfn.XLOOKUP($B15,'raw data results'!$A:$A,'raw data results'!G:G)</f>
        <v>9902.1670015093805</v>
      </c>
      <c r="J15">
        <f>_xlfn.XLOOKUP($B15,'raw data results'!$A:$A,'raw data results'!H:H)</f>
        <v>9902.1670015093805</v>
      </c>
      <c r="K15">
        <f>_xlfn.XLOOKUP($B15,'raw data results'!$A:$A,'raw data results'!I:I)</f>
        <v>9902.1670015093805</v>
      </c>
      <c r="L15">
        <f>_xlfn.XLOOKUP($B15,'raw data results'!$A:$A,'raw data results'!J:J)</f>
        <v>9902.1670015093805</v>
      </c>
      <c r="M15">
        <f>_xlfn.XLOOKUP($B15,'raw data results'!$A:$A,'raw data results'!K:K)</f>
        <v>9902.1670015093805</v>
      </c>
      <c r="N15">
        <f>_xlfn.XLOOKUP($B15,'raw data results'!$A:$A,'raw data results'!L:L)</f>
        <v>9902.1670015093805</v>
      </c>
      <c r="O15">
        <f t="shared" si="0"/>
        <v>69337.272784557019</v>
      </c>
    </row>
    <row r="16" spans="1:15" x14ac:dyDescent="0.25">
      <c r="B16" t="s">
        <v>45</v>
      </c>
      <c r="G16" t="s">
        <v>60</v>
      </c>
      <c r="H16">
        <v>15000</v>
      </c>
      <c r="I16">
        <v>15000</v>
      </c>
      <c r="J16">
        <v>3000</v>
      </c>
      <c r="K16">
        <v>12000</v>
      </c>
      <c r="L16">
        <v>12000</v>
      </c>
      <c r="M16">
        <v>3000</v>
      </c>
      <c r="N16">
        <v>10200</v>
      </c>
      <c r="O16">
        <f t="shared" si="0"/>
        <v>70200</v>
      </c>
    </row>
    <row r="17" spans="1:15" x14ac:dyDescent="0.25">
      <c r="A17" s="2">
        <v>8</v>
      </c>
      <c r="B17" t="s">
        <v>47</v>
      </c>
      <c r="C17" t="s">
        <v>48</v>
      </c>
      <c r="D17">
        <v>962.4431793768556</v>
      </c>
      <c r="E17">
        <v>1179.105688242111</v>
      </c>
      <c r="F17">
        <v>45.400550503093548</v>
      </c>
      <c r="G17" t="s">
        <v>5</v>
      </c>
      <c r="H17">
        <f>_xlfn.XLOOKUP($B17,'raw data results'!$A:$A,'raw data results'!F:F)</f>
        <v>1330.8085839663199</v>
      </c>
      <c r="I17">
        <f>_xlfn.XLOOKUP($B17,'raw data results'!$A:$A,'raw data results'!G:G)</f>
        <v>395.85826425224798</v>
      </c>
      <c r="J17">
        <f>_xlfn.XLOOKUP($B17,'raw data results'!$A:$A,'raw data results'!H:H)</f>
        <v>242.66175429473699</v>
      </c>
      <c r="K17">
        <f>_xlfn.XLOOKUP($B17,'raw data results'!$A:$A,'raw data results'!I:I)</f>
        <v>700.46915054018098</v>
      </c>
      <c r="L17">
        <f>_xlfn.XLOOKUP($B17,'raw data results'!$A:$A,'raw data results'!J:J)</f>
        <v>2151.4172792049299</v>
      </c>
      <c r="M17">
        <f>_xlfn.XLOOKUP($B17,'raw data results'!$A:$A,'raw data results'!K:K)</f>
        <v>1214.3822892600799</v>
      </c>
      <c r="N17">
        <f>_xlfn.XLOOKUP($B17,'raw data results'!$A:$A,'raw data results'!L:L)</f>
        <v>871.69094882300703</v>
      </c>
      <c r="O17">
        <f t="shared" si="0"/>
        <v>6907.2882703415025</v>
      </c>
    </row>
    <row r="18" spans="1:15" x14ac:dyDescent="0.25">
      <c r="B18" t="s">
        <v>47</v>
      </c>
      <c r="G18" t="s">
        <v>60</v>
      </c>
      <c r="H18">
        <v>300</v>
      </c>
      <c r="I18">
        <v>600</v>
      </c>
      <c r="J18">
        <v>0</v>
      </c>
      <c r="K18">
        <v>0</v>
      </c>
      <c r="L18">
        <v>4500</v>
      </c>
      <c r="M18">
        <v>5160</v>
      </c>
      <c r="N18">
        <v>4200</v>
      </c>
      <c r="O18">
        <f t="shared" si="0"/>
        <v>14760</v>
      </c>
    </row>
    <row r="19" spans="1:15" x14ac:dyDescent="0.25">
      <c r="A19" s="2">
        <v>9</v>
      </c>
      <c r="B19" t="s">
        <v>49</v>
      </c>
      <c r="C19" t="s">
        <v>50</v>
      </c>
      <c r="D19">
        <v>462.65278701651039</v>
      </c>
      <c r="E19">
        <v>523.1664641103107</v>
      </c>
      <c r="F19">
        <v>107.072613748397</v>
      </c>
      <c r="G19" t="s">
        <v>5</v>
      </c>
      <c r="H19">
        <f>_xlfn.XLOOKUP($B19,'raw data results'!$A:$A,'raw data results'!F:F)</f>
        <v>1535.2099689751301</v>
      </c>
      <c r="I19">
        <f>_xlfn.XLOOKUP($B19,'raw data results'!$A:$A,'raw data results'!G:G)</f>
        <v>1551.27302029422</v>
      </c>
      <c r="J19">
        <f>_xlfn.XLOOKUP($B19,'raw data results'!$A:$A,'raw data results'!H:H)</f>
        <v>1500.35678638693</v>
      </c>
      <c r="K19">
        <f>_xlfn.XLOOKUP($B19,'raw data results'!$A:$A,'raw data results'!I:I)</f>
        <v>2021.4574340751401</v>
      </c>
      <c r="L19">
        <f>_xlfn.XLOOKUP($B19,'raw data results'!$A:$A,'raw data results'!J:J)</f>
        <v>1583.23490821925</v>
      </c>
      <c r="M19">
        <f>_xlfn.XLOOKUP($B19,'raw data results'!$A:$A,'raw data results'!K:K)</f>
        <v>1869.6288237998101</v>
      </c>
      <c r="N19">
        <f>_xlfn.XLOOKUP($B19,'raw data results'!$A:$A,'raw data results'!L:L)</f>
        <v>1646.70384360455</v>
      </c>
      <c r="O19">
        <f t="shared" si="0"/>
        <v>11707.86478535503</v>
      </c>
    </row>
    <row r="20" spans="1:15" x14ac:dyDescent="0.25">
      <c r="B20" t="s">
        <v>49</v>
      </c>
      <c r="G20" t="s">
        <v>60</v>
      </c>
      <c r="H20">
        <v>0</v>
      </c>
      <c r="I20">
        <v>1680</v>
      </c>
      <c r="J20">
        <v>420</v>
      </c>
      <c r="K20">
        <v>1200</v>
      </c>
      <c r="L20">
        <v>1200</v>
      </c>
      <c r="M20">
        <v>2760</v>
      </c>
      <c r="N20">
        <v>120</v>
      </c>
      <c r="O20">
        <f t="shared" si="0"/>
        <v>7380</v>
      </c>
    </row>
    <row r="21" spans="1:15" x14ac:dyDescent="0.25">
      <c r="A21" s="2">
        <v>10</v>
      </c>
      <c r="B21" t="s">
        <v>8</v>
      </c>
      <c r="C21" t="s">
        <v>9</v>
      </c>
      <c r="D21">
        <v>250.8257294371891</v>
      </c>
      <c r="E21">
        <v>290.17225582680391</v>
      </c>
      <c r="F21">
        <v>36.626048430824078</v>
      </c>
      <c r="G21" t="s">
        <v>5</v>
      </c>
      <c r="H21">
        <f>_xlfn.XLOOKUP($B21,'raw data results'!$A:$A,'raw data results'!F:F)</f>
        <v>848.64861228010898</v>
      </c>
      <c r="I21">
        <f>_xlfn.XLOOKUP($B21,'raw data results'!$A:$A,'raw data results'!G:G)</f>
        <v>985.45749425148995</v>
      </c>
      <c r="J21">
        <f>_xlfn.XLOOKUP($B21,'raw data results'!$A:$A,'raw data results'!H:H)</f>
        <v>817.21841400475296</v>
      </c>
      <c r="K21">
        <f>_xlfn.XLOOKUP($B21,'raw data results'!$A:$A,'raw data results'!I:I)</f>
        <v>1326.92817488326</v>
      </c>
      <c r="L21">
        <f>_xlfn.XLOOKUP($B21,'raw data results'!$A:$A,'raw data results'!J:J)</f>
        <v>1308.2655033456499</v>
      </c>
      <c r="M21">
        <f>_xlfn.XLOOKUP($B21,'raw data results'!$A:$A,'raw data results'!K:K)</f>
        <v>524.29144499133099</v>
      </c>
      <c r="N21">
        <f>_xlfn.XLOOKUP($B21,'raw data results'!$A:$A,'raw data results'!L:L)</f>
        <v>1507.99685085125</v>
      </c>
      <c r="O21">
        <f t="shared" si="0"/>
        <v>7318.806494607843</v>
      </c>
    </row>
    <row r="22" spans="1:15" x14ac:dyDescent="0.25">
      <c r="B22" t="s">
        <v>8</v>
      </c>
      <c r="G22" t="s">
        <v>60</v>
      </c>
      <c r="H22">
        <v>1500</v>
      </c>
      <c r="I22">
        <v>1080</v>
      </c>
      <c r="J22">
        <v>1200</v>
      </c>
      <c r="K22">
        <v>1500</v>
      </c>
      <c r="L22">
        <v>1620</v>
      </c>
      <c r="M22">
        <v>600</v>
      </c>
      <c r="N22">
        <v>1680</v>
      </c>
      <c r="O22">
        <f t="shared" si="0"/>
        <v>9180</v>
      </c>
    </row>
    <row r="23" spans="1:15" x14ac:dyDescent="0.25">
      <c r="A23" s="2">
        <v>11</v>
      </c>
      <c r="B23" t="s">
        <v>10</v>
      </c>
      <c r="C23" t="s">
        <v>11</v>
      </c>
      <c r="D23">
        <v>232.01019361116209</v>
      </c>
      <c r="E23">
        <v>321.73949429821857</v>
      </c>
      <c r="F23">
        <v>21.22618517996062</v>
      </c>
      <c r="G23" t="s">
        <v>5</v>
      </c>
      <c r="H23">
        <f>_xlfn.XLOOKUP($B23,'raw data results'!$A:$A,'raw data results'!F:F)</f>
        <v>969.82152242163897</v>
      </c>
      <c r="I23">
        <f>_xlfn.XLOOKUP($B23,'raw data results'!$A:$A,'raw data results'!G:G)</f>
        <v>1270.8031320048999</v>
      </c>
      <c r="J23">
        <f>_xlfn.XLOOKUP($B23,'raw data results'!$A:$A,'raw data results'!H:H)</f>
        <v>799.34177974265594</v>
      </c>
      <c r="K23">
        <f>_xlfn.XLOOKUP($B23,'raw data results'!$A:$A,'raw data results'!I:I)</f>
        <v>1214.33541398999</v>
      </c>
      <c r="L23">
        <f>_xlfn.XLOOKUP($B23,'raw data results'!$A:$A,'raw data results'!J:J)</f>
        <v>1344.1682636764999</v>
      </c>
      <c r="M23">
        <f>_xlfn.XLOOKUP($B23,'raw data results'!$A:$A,'raw data results'!K:K)</f>
        <v>910.23060879101104</v>
      </c>
      <c r="N23">
        <f>_xlfn.XLOOKUP($B23,'raw data results'!$A:$A,'raw data results'!L:L)</f>
        <v>1556.88259712437</v>
      </c>
      <c r="O23">
        <f t="shared" si="0"/>
        <v>8065.5833177510649</v>
      </c>
    </row>
    <row r="24" spans="1:15" x14ac:dyDescent="0.25">
      <c r="B24" t="s">
        <v>10</v>
      </c>
      <c r="G24" t="s">
        <v>60</v>
      </c>
      <c r="H24">
        <v>660</v>
      </c>
      <c r="I24">
        <v>1680</v>
      </c>
      <c r="J24">
        <v>360</v>
      </c>
      <c r="K24">
        <v>1080</v>
      </c>
      <c r="L24">
        <v>1380</v>
      </c>
      <c r="M24">
        <v>600</v>
      </c>
      <c r="N24">
        <v>1440</v>
      </c>
      <c r="O24">
        <f t="shared" si="0"/>
        <v>7200</v>
      </c>
    </row>
    <row r="25" spans="1:15" x14ac:dyDescent="0.25">
      <c r="A25" s="2">
        <v>12</v>
      </c>
      <c r="B25" t="s">
        <v>12</v>
      </c>
      <c r="C25" t="s">
        <v>13</v>
      </c>
      <c r="D25">
        <v>296.26053684072389</v>
      </c>
      <c r="E25">
        <v>356.25712892085892</v>
      </c>
      <c r="F25">
        <v>67.848572106542051</v>
      </c>
      <c r="G25" t="s">
        <v>5</v>
      </c>
      <c r="H25">
        <f>_xlfn.XLOOKUP($B25,'raw data results'!$A:$A,'raw data results'!F:F)</f>
        <v>408.49942010535699</v>
      </c>
      <c r="I25">
        <f>_xlfn.XLOOKUP($B25,'raw data results'!$A:$A,'raw data results'!G:G)</f>
        <v>396.894299544467</v>
      </c>
      <c r="J25">
        <f>_xlfn.XLOOKUP($B25,'raw data results'!$A:$A,'raw data results'!H:H)</f>
        <v>399.260802141429</v>
      </c>
      <c r="K25">
        <f>_xlfn.XLOOKUP($B25,'raw data results'!$A:$A,'raw data results'!I:I)</f>
        <v>399.308869862846</v>
      </c>
      <c r="L25">
        <f>_xlfn.XLOOKUP($B25,'raw data results'!$A:$A,'raw data results'!J:J)</f>
        <v>399.30984620060502</v>
      </c>
      <c r="M25">
        <f>_xlfn.XLOOKUP($B25,'raw data results'!$A:$A,'raw data results'!K:K)</f>
        <v>399.30986603169703</v>
      </c>
      <c r="N25">
        <f>_xlfn.XLOOKUP($B25,'raw data results'!$A:$A,'raw data results'!L:L)</f>
        <v>399.30986643450098</v>
      </c>
      <c r="O25">
        <f t="shared" si="0"/>
        <v>2801.8929703209024</v>
      </c>
    </row>
    <row r="26" spans="1:15" x14ac:dyDescent="0.25">
      <c r="B26" t="s">
        <v>12</v>
      </c>
      <c r="G26" t="s">
        <v>60</v>
      </c>
      <c r="H26">
        <v>240</v>
      </c>
      <c r="I26">
        <v>420</v>
      </c>
      <c r="J26">
        <v>0</v>
      </c>
      <c r="K26">
        <v>600</v>
      </c>
      <c r="L26">
        <v>660</v>
      </c>
      <c r="M26">
        <v>1260</v>
      </c>
      <c r="N26">
        <v>720</v>
      </c>
      <c r="O26">
        <f t="shared" si="0"/>
        <v>3900</v>
      </c>
    </row>
    <row r="27" spans="1:15" x14ac:dyDescent="0.25">
      <c r="A27" s="2">
        <v>13</v>
      </c>
      <c r="B27" t="s">
        <v>14</v>
      </c>
      <c r="C27" t="s">
        <v>15</v>
      </c>
      <c r="D27">
        <v>160.97657494077799</v>
      </c>
      <c r="E27">
        <v>194.897187182262</v>
      </c>
      <c r="F27">
        <v>51.351086734902431</v>
      </c>
      <c r="G27" t="s">
        <v>5</v>
      </c>
      <c r="H27">
        <f>_xlfn.XLOOKUP($B27,'raw data results'!$A:$A,'raw data results'!F:F)</f>
        <v>571.01567821729896</v>
      </c>
      <c r="I27">
        <f>_xlfn.XLOOKUP($B27,'raw data results'!$A:$A,'raw data results'!G:G)</f>
        <v>543.10840496441301</v>
      </c>
      <c r="J27">
        <f>_xlfn.XLOOKUP($B27,'raw data results'!$A:$A,'raw data results'!H:H)</f>
        <v>550.76698814156498</v>
      </c>
      <c r="K27">
        <f>_xlfn.XLOOKUP($B27,'raw data results'!$A:$A,'raw data results'!I:I)</f>
        <v>550.157164477116</v>
      </c>
      <c r="L27">
        <f>_xlfn.XLOOKUP($B27,'raw data results'!$A:$A,'raw data results'!J:J)</f>
        <v>551.11001323880896</v>
      </c>
      <c r="M27">
        <f>_xlfn.XLOOKUP($B27,'raw data results'!$A:$A,'raw data results'!K:K)</f>
        <v>551.67530152485801</v>
      </c>
      <c r="N27">
        <f>_xlfn.XLOOKUP($B27,'raw data results'!$A:$A,'raw data results'!L:L)</f>
        <v>552.30761179436399</v>
      </c>
      <c r="O27">
        <f t="shared" si="0"/>
        <v>3870.1411623584236</v>
      </c>
    </row>
    <row r="28" spans="1:15" x14ac:dyDescent="0.25">
      <c r="B28" t="s">
        <v>14</v>
      </c>
      <c r="G28" t="s">
        <v>60</v>
      </c>
      <c r="H28">
        <v>120</v>
      </c>
      <c r="I28">
        <v>540</v>
      </c>
      <c r="J28">
        <v>300</v>
      </c>
      <c r="K28">
        <v>600</v>
      </c>
      <c r="L28">
        <v>960</v>
      </c>
      <c r="M28">
        <v>480</v>
      </c>
      <c r="N28">
        <v>900</v>
      </c>
      <c r="O28">
        <f t="shared" si="0"/>
        <v>3900</v>
      </c>
    </row>
    <row r="29" spans="1:15" x14ac:dyDescent="0.25">
      <c r="A29" s="2">
        <v>14</v>
      </c>
      <c r="B29" t="s">
        <v>16</v>
      </c>
      <c r="C29" t="s">
        <v>17</v>
      </c>
      <c r="D29">
        <v>939.33386694631668</v>
      </c>
      <c r="E29">
        <v>1067.3594698468521</v>
      </c>
      <c r="F29">
        <v>115.81230879155331</v>
      </c>
      <c r="G29" t="s">
        <v>5</v>
      </c>
      <c r="H29">
        <f>_xlfn.XLOOKUP($B29,'raw data results'!$A:$A,'raw data results'!F:F)</f>
        <v>2210.0811869050999</v>
      </c>
      <c r="I29">
        <f>_xlfn.XLOOKUP($B29,'raw data results'!$A:$A,'raw data results'!G:G)</f>
        <v>417.92077651223502</v>
      </c>
      <c r="J29">
        <f>_xlfn.XLOOKUP($B29,'raw data results'!$A:$A,'raw data results'!H:H)</f>
        <v>-669.71110357284897</v>
      </c>
      <c r="K29">
        <f>_xlfn.XLOOKUP($B29,'raw data results'!$A:$A,'raw data results'!I:I)</f>
        <v>-550.797599837966</v>
      </c>
      <c r="L29">
        <f>_xlfn.XLOOKUP($B29,'raw data results'!$A:$A,'raw data results'!J:J)</f>
        <v>1224.1875953840699</v>
      </c>
      <c r="M29">
        <f>_xlfn.XLOOKUP($B29,'raw data results'!$A:$A,'raw data results'!K:K)</f>
        <v>41.383251108141998</v>
      </c>
      <c r="N29">
        <f>_xlfn.XLOOKUP($B29,'raw data results'!$A:$A,'raw data results'!L:L)</f>
        <v>-614.44074631425894</v>
      </c>
      <c r="O29">
        <f t="shared" si="0"/>
        <v>2058.6233601844729</v>
      </c>
    </row>
    <row r="30" spans="1:15" x14ac:dyDescent="0.25">
      <c r="B30" t="s">
        <v>16</v>
      </c>
      <c r="G30" t="s">
        <v>60</v>
      </c>
      <c r="H30">
        <v>1800</v>
      </c>
      <c r="I30">
        <v>1200</v>
      </c>
      <c r="J30">
        <v>2040</v>
      </c>
      <c r="K30">
        <v>2040</v>
      </c>
      <c r="L30">
        <v>6840</v>
      </c>
      <c r="M30">
        <v>360</v>
      </c>
      <c r="N30">
        <v>1560</v>
      </c>
      <c r="O30">
        <f t="shared" si="0"/>
        <v>15840</v>
      </c>
    </row>
    <row r="31" spans="1:15" x14ac:dyDescent="0.25">
      <c r="A31" s="2">
        <v>15</v>
      </c>
      <c r="B31" t="s">
        <v>18</v>
      </c>
      <c r="C31" t="s">
        <v>19</v>
      </c>
      <c r="D31">
        <v>309.20839052124751</v>
      </c>
      <c r="E31">
        <v>357.36821809047171</v>
      </c>
      <c r="F31">
        <v>61.033661873628851</v>
      </c>
      <c r="G31" t="s">
        <v>5</v>
      </c>
      <c r="H31">
        <f>_xlfn.XLOOKUP($B31,'raw data results'!$A:$A,'raw data results'!F:F)</f>
        <v>667.38325854127595</v>
      </c>
      <c r="I31">
        <f>_xlfn.XLOOKUP($B31,'raw data results'!$A:$A,'raw data results'!G:G)</f>
        <v>657.437112840086</v>
      </c>
      <c r="J31">
        <f>_xlfn.XLOOKUP($B31,'raw data results'!$A:$A,'raw data results'!H:H)</f>
        <v>1215.92423553862</v>
      </c>
      <c r="K31">
        <f>_xlfn.XLOOKUP($B31,'raw data results'!$A:$A,'raw data results'!I:I)</f>
        <v>1792.23073273146</v>
      </c>
      <c r="L31">
        <f>_xlfn.XLOOKUP($B31,'raw data results'!$A:$A,'raw data results'!J:J)</f>
        <v>658.63633269079105</v>
      </c>
      <c r="M31">
        <f>_xlfn.XLOOKUP($B31,'raw data results'!$A:$A,'raw data results'!K:K)</f>
        <v>1435.8119693523099</v>
      </c>
      <c r="N31">
        <f>_xlfn.XLOOKUP($B31,'raw data results'!$A:$A,'raw data results'!L:L)</f>
        <v>714.20287963974499</v>
      </c>
      <c r="O31">
        <f t="shared" si="0"/>
        <v>7141.6265213342876</v>
      </c>
    </row>
    <row r="32" spans="1:15" x14ac:dyDescent="0.25">
      <c r="B32" t="s">
        <v>18</v>
      </c>
      <c r="G32" t="s">
        <v>60</v>
      </c>
      <c r="H32">
        <v>600</v>
      </c>
      <c r="I32">
        <v>600</v>
      </c>
      <c r="J32">
        <v>840</v>
      </c>
      <c r="K32">
        <v>2040</v>
      </c>
      <c r="L32">
        <v>840</v>
      </c>
      <c r="M32">
        <v>1200</v>
      </c>
      <c r="N32">
        <v>840</v>
      </c>
      <c r="O32">
        <f t="shared" si="0"/>
        <v>6960</v>
      </c>
    </row>
    <row r="33" spans="1:15" x14ac:dyDescent="0.25">
      <c r="A33" s="2">
        <v>16</v>
      </c>
      <c r="B33" t="s">
        <v>20</v>
      </c>
      <c r="C33" t="s">
        <v>15</v>
      </c>
      <c r="D33">
        <v>661.29510376690723</v>
      </c>
      <c r="E33">
        <v>757.71701397042295</v>
      </c>
      <c r="F33">
        <v>76.278076053253443</v>
      </c>
      <c r="G33" t="s">
        <v>5</v>
      </c>
      <c r="H33">
        <f>_xlfn.XLOOKUP($B33,'raw data results'!$A:$A,'raw data results'!F:F)</f>
        <v>4424.4422436700397</v>
      </c>
      <c r="I33">
        <f>_xlfn.XLOOKUP($B33,'raw data results'!$A:$A,'raw data results'!G:G)</f>
        <v>4362.2525422956796</v>
      </c>
      <c r="J33">
        <f>_xlfn.XLOOKUP($B33,'raw data results'!$A:$A,'raw data results'!H:H)</f>
        <v>-156.949744731864</v>
      </c>
      <c r="K33">
        <f>_xlfn.XLOOKUP($B33,'raw data results'!$A:$A,'raw data results'!I:I)</f>
        <v>4582.4778343936396</v>
      </c>
      <c r="L33">
        <f>_xlfn.XLOOKUP($B33,'raw data results'!$A:$A,'raw data results'!J:J)</f>
        <v>4022.9449906351101</v>
      </c>
      <c r="M33">
        <f>_xlfn.XLOOKUP($B33,'raw data results'!$A:$A,'raw data results'!K:K)</f>
        <v>3854.6660221514699</v>
      </c>
      <c r="N33">
        <f>_xlfn.XLOOKUP($B33,'raw data results'!$A:$A,'raw data results'!L:L)</f>
        <v>4245.5893566062596</v>
      </c>
      <c r="O33">
        <f t="shared" si="0"/>
        <v>25335.423245020331</v>
      </c>
    </row>
    <row r="34" spans="1:15" x14ac:dyDescent="0.25">
      <c r="B34" t="s">
        <v>20</v>
      </c>
      <c r="G34" t="s">
        <v>60</v>
      </c>
      <c r="H34">
        <v>4200</v>
      </c>
      <c r="I34">
        <v>6000</v>
      </c>
      <c r="J34">
        <v>0</v>
      </c>
      <c r="K34">
        <v>4800</v>
      </c>
      <c r="L34">
        <v>2250</v>
      </c>
      <c r="M34">
        <v>3450</v>
      </c>
      <c r="N34">
        <v>3900</v>
      </c>
      <c r="O34">
        <f t="shared" si="0"/>
        <v>24600</v>
      </c>
    </row>
    <row r="35" spans="1:15" x14ac:dyDescent="0.25">
      <c r="A35" s="2">
        <v>17</v>
      </c>
      <c r="B35" t="s">
        <v>21</v>
      </c>
      <c r="C35" t="s">
        <v>22</v>
      </c>
      <c r="D35">
        <v>2382.0891339504192</v>
      </c>
      <c r="E35">
        <v>2836.6794935983348</v>
      </c>
      <c r="F35">
        <v>30.805129351237031</v>
      </c>
      <c r="G35" t="s">
        <v>5</v>
      </c>
      <c r="H35">
        <f>_xlfn.XLOOKUP($B35,'raw data results'!$A:$A,'raw data results'!F:F)</f>
        <v>17349.2336667417</v>
      </c>
      <c r="I35">
        <f>_xlfn.XLOOKUP($B35,'raw data results'!$A:$A,'raw data results'!G:G)</f>
        <v>13605.0007873709</v>
      </c>
      <c r="J35">
        <f>_xlfn.XLOOKUP($B35,'raw data results'!$A:$A,'raw data results'!H:H)</f>
        <v>13171.572180532999</v>
      </c>
      <c r="K35">
        <f>_xlfn.XLOOKUP($B35,'raw data results'!$A:$A,'raw data results'!I:I)</f>
        <v>13991.4464104946</v>
      </c>
      <c r="L35">
        <f>_xlfn.XLOOKUP($B35,'raw data results'!$A:$A,'raw data results'!J:J)</f>
        <v>22603.0100281288</v>
      </c>
      <c r="M35">
        <f>_xlfn.XLOOKUP($B35,'raw data results'!$A:$A,'raw data results'!K:K)</f>
        <v>13637.126900875701</v>
      </c>
      <c r="N35">
        <f>_xlfn.XLOOKUP($B35,'raw data results'!$A:$A,'raw data results'!L:L)</f>
        <v>14921.903476435</v>
      </c>
      <c r="O35">
        <f t="shared" si="0"/>
        <v>109279.29345057969</v>
      </c>
    </row>
    <row r="36" spans="1:15" x14ac:dyDescent="0.25">
      <c r="B36" t="s">
        <v>21</v>
      </c>
      <c r="G36" t="s">
        <v>60</v>
      </c>
      <c r="H36">
        <v>13800</v>
      </c>
      <c r="I36">
        <v>9000</v>
      </c>
      <c r="J36">
        <v>15600</v>
      </c>
      <c r="K36">
        <v>12671</v>
      </c>
      <c r="L36">
        <v>15600</v>
      </c>
      <c r="M36">
        <v>4200</v>
      </c>
      <c r="N36">
        <v>12000</v>
      </c>
      <c r="O36">
        <f t="shared" si="0"/>
        <v>82871</v>
      </c>
    </row>
    <row r="37" spans="1:15" x14ac:dyDescent="0.25">
      <c r="A37" s="2">
        <v>18</v>
      </c>
      <c r="B37" t="s">
        <v>23</v>
      </c>
      <c r="C37" t="s">
        <v>24</v>
      </c>
      <c r="D37">
        <v>612.43592702386366</v>
      </c>
      <c r="E37">
        <v>718.28157810713992</v>
      </c>
      <c r="F37">
        <v>66.867217029209598</v>
      </c>
      <c r="G37" t="s">
        <v>5</v>
      </c>
      <c r="H37">
        <f>_xlfn.XLOOKUP($B37,'raw data results'!$A:$A,'raw data results'!F:F)</f>
        <v>2130.7054902247401</v>
      </c>
      <c r="I37">
        <f>_xlfn.XLOOKUP($B37,'raw data results'!$A:$A,'raw data results'!G:G)</f>
        <v>1712.72904282217</v>
      </c>
      <c r="J37">
        <f>_xlfn.XLOOKUP($B37,'raw data results'!$A:$A,'raw data results'!H:H)</f>
        <v>1786.46003082538</v>
      </c>
      <c r="K37">
        <f>_xlfn.XLOOKUP($B37,'raw data results'!$A:$A,'raw data results'!I:I)</f>
        <v>2197.7575170872701</v>
      </c>
      <c r="L37">
        <f>_xlfn.XLOOKUP($B37,'raw data results'!$A:$A,'raw data results'!J:J)</f>
        <v>2385.5745286661299</v>
      </c>
      <c r="M37">
        <f>_xlfn.XLOOKUP($B37,'raw data results'!$A:$A,'raw data results'!K:K)</f>
        <v>2140.6227184053</v>
      </c>
      <c r="N37">
        <f>_xlfn.XLOOKUP($B37,'raw data results'!$A:$A,'raw data results'!L:L)</f>
        <v>1825.82502204241</v>
      </c>
      <c r="O37">
        <f t="shared" si="0"/>
        <v>14179.674350073401</v>
      </c>
    </row>
    <row r="38" spans="1:15" x14ac:dyDescent="0.25">
      <c r="B38" t="s">
        <v>23</v>
      </c>
      <c r="G38" t="s">
        <v>60</v>
      </c>
      <c r="H38">
        <v>1680</v>
      </c>
      <c r="I38">
        <v>3120</v>
      </c>
      <c r="J38">
        <v>1800</v>
      </c>
      <c r="K38">
        <v>2760</v>
      </c>
      <c r="L38">
        <v>2760</v>
      </c>
      <c r="M38">
        <v>2040</v>
      </c>
      <c r="N38">
        <v>960</v>
      </c>
      <c r="O38">
        <f t="shared" si="0"/>
        <v>15120</v>
      </c>
    </row>
    <row r="39" spans="1:15" x14ac:dyDescent="0.25">
      <c r="A39" s="2">
        <v>19</v>
      </c>
      <c r="B39" t="s">
        <v>25</v>
      </c>
      <c r="C39" t="s">
        <v>26</v>
      </c>
      <c r="D39">
        <v>1539.8361297229981</v>
      </c>
      <c r="E39">
        <v>1748.0411359700061</v>
      </c>
      <c r="F39">
        <v>85.143736389780827</v>
      </c>
      <c r="G39" t="s">
        <v>5</v>
      </c>
      <c r="H39">
        <f>_xlfn.XLOOKUP($B39,'raw data results'!$A:$A,'raw data results'!F:F)</f>
        <v>3134.4529381160301</v>
      </c>
      <c r="I39">
        <f>_xlfn.XLOOKUP($B39,'raw data results'!$A:$A,'raw data results'!G:G)</f>
        <v>112.134012206096</v>
      </c>
      <c r="J39">
        <f>_xlfn.XLOOKUP($B39,'raw data results'!$A:$A,'raw data results'!H:H)</f>
        <v>379.10064945168</v>
      </c>
      <c r="K39">
        <f>_xlfn.XLOOKUP($B39,'raw data results'!$A:$A,'raw data results'!I:I)</f>
        <v>1326.1226629953801</v>
      </c>
      <c r="L39">
        <f>_xlfn.XLOOKUP($B39,'raw data results'!$A:$A,'raw data results'!J:J)</f>
        <v>2366.58558733774</v>
      </c>
      <c r="M39">
        <f>_xlfn.XLOOKUP($B39,'raw data results'!$A:$A,'raw data results'!K:K)</f>
        <v>859.64177302372798</v>
      </c>
      <c r="N39">
        <f>_xlfn.XLOOKUP($B39,'raw data results'!$A:$A,'raw data results'!L:L)</f>
        <v>352.23949770237198</v>
      </c>
      <c r="O39">
        <f t="shared" si="0"/>
        <v>8530.2771208330269</v>
      </c>
    </row>
    <row r="40" spans="1:15" x14ac:dyDescent="0.25">
      <c r="B40" t="s">
        <v>25</v>
      </c>
      <c r="G40" t="s">
        <v>60</v>
      </c>
      <c r="H40">
        <v>8400</v>
      </c>
      <c r="I40">
        <v>240</v>
      </c>
      <c r="J40">
        <v>4200</v>
      </c>
      <c r="K40">
        <v>6240</v>
      </c>
      <c r="L40">
        <v>3240</v>
      </c>
      <c r="M40">
        <v>1200</v>
      </c>
      <c r="N40">
        <v>4200</v>
      </c>
      <c r="O40">
        <f t="shared" si="0"/>
        <v>27720</v>
      </c>
    </row>
    <row r="41" spans="1:15" x14ac:dyDescent="0.25">
      <c r="A41" s="2">
        <v>20</v>
      </c>
      <c r="B41" t="s">
        <v>28</v>
      </c>
      <c r="C41" t="s">
        <v>15</v>
      </c>
      <c r="D41">
        <v>4179.3864350094555</v>
      </c>
      <c r="E41">
        <v>4558.8898054449564</v>
      </c>
      <c r="F41">
        <v>110.2300068228071</v>
      </c>
      <c r="G41" t="s">
        <v>5</v>
      </c>
      <c r="H41">
        <f>_xlfn.XLOOKUP($B41,'raw data results'!$A:$A,'raw data results'!F:F)</f>
        <v>8972.1097038138396</v>
      </c>
      <c r="I41">
        <f>_xlfn.XLOOKUP($B41,'raw data results'!$A:$A,'raw data results'!G:G)</f>
        <v>2873.44995418088</v>
      </c>
      <c r="J41">
        <f>_xlfn.XLOOKUP($B41,'raw data results'!$A:$A,'raw data results'!H:H)</f>
        <v>3607.0015375932799</v>
      </c>
      <c r="K41">
        <f>_xlfn.XLOOKUP($B41,'raw data results'!$A:$A,'raw data results'!I:I)</f>
        <v>6064.1281948123597</v>
      </c>
      <c r="L41">
        <f>_xlfn.XLOOKUP($B41,'raw data results'!$A:$A,'raw data results'!J:J)</f>
        <v>8396.84312729054</v>
      </c>
      <c r="M41">
        <f>_xlfn.XLOOKUP($B41,'raw data results'!$A:$A,'raw data results'!K:K)</f>
        <v>5423.7369636203603</v>
      </c>
      <c r="N41">
        <f>_xlfn.XLOOKUP($B41,'raw data results'!$A:$A,'raw data results'!L:L)</f>
        <v>5730.3064908504002</v>
      </c>
      <c r="O41">
        <f t="shared" si="0"/>
        <v>41067.575972161663</v>
      </c>
    </row>
    <row r="42" spans="1:15" x14ac:dyDescent="0.25">
      <c r="B42" t="s">
        <v>28</v>
      </c>
      <c r="G42" t="s">
        <v>60</v>
      </c>
      <c r="H42">
        <v>8400</v>
      </c>
      <c r="I42">
        <v>1800</v>
      </c>
      <c r="J42">
        <v>5400</v>
      </c>
      <c r="K42">
        <v>10800</v>
      </c>
      <c r="L42">
        <v>16800</v>
      </c>
      <c r="M42">
        <v>6360</v>
      </c>
      <c r="N42">
        <v>10800</v>
      </c>
      <c r="O42">
        <f t="shared" si="0"/>
        <v>60360</v>
      </c>
    </row>
    <row r="43" spans="1:15" x14ac:dyDescent="0.25">
      <c r="A43" s="2">
        <v>21</v>
      </c>
      <c r="B43" t="s">
        <v>29</v>
      </c>
      <c r="C43" t="s">
        <v>7</v>
      </c>
      <c r="D43">
        <v>813.81425760892671</v>
      </c>
      <c r="E43">
        <v>1042.018799645555</v>
      </c>
      <c r="F43">
        <v>47.058159602282373</v>
      </c>
      <c r="G43" t="s">
        <v>5</v>
      </c>
      <c r="H43">
        <f>_xlfn.XLOOKUP($B43,'raw data results'!$A:$A,'raw data results'!F:F)</f>
        <v>4595.9905118816396</v>
      </c>
      <c r="I43">
        <f>_xlfn.XLOOKUP($B43,'raw data results'!$A:$A,'raw data results'!G:G)</f>
        <v>3090.5625464940799</v>
      </c>
      <c r="J43">
        <f>_xlfn.XLOOKUP($B43,'raw data results'!$A:$A,'raw data results'!H:H)</f>
        <v>1061.1332852507801</v>
      </c>
      <c r="K43">
        <f>_xlfn.XLOOKUP($B43,'raw data results'!$A:$A,'raw data results'!I:I)</f>
        <v>4785.2606109100598</v>
      </c>
      <c r="L43">
        <f>_xlfn.XLOOKUP($B43,'raw data results'!$A:$A,'raw data results'!J:J)</f>
        <v>8778.7123308720693</v>
      </c>
      <c r="M43">
        <f>_xlfn.XLOOKUP($B43,'raw data results'!$A:$A,'raw data results'!K:K)</f>
        <v>2612.5143607658501</v>
      </c>
      <c r="N43">
        <f>_xlfn.XLOOKUP($B43,'raw data results'!$A:$A,'raw data results'!L:L)</f>
        <v>2835.63316741475</v>
      </c>
      <c r="O43">
        <f t="shared" si="0"/>
        <v>27759.806813589228</v>
      </c>
    </row>
    <row r="44" spans="1:15" x14ac:dyDescent="0.25">
      <c r="B44" t="s">
        <v>29</v>
      </c>
      <c r="G44" t="s">
        <v>60</v>
      </c>
      <c r="H44">
        <v>1800</v>
      </c>
      <c r="I44">
        <v>3840</v>
      </c>
      <c r="J44">
        <v>960</v>
      </c>
      <c r="K44">
        <v>4680</v>
      </c>
      <c r="L44">
        <v>13200</v>
      </c>
      <c r="M44">
        <v>1800</v>
      </c>
      <c r="N44">
        <v>4320</v>
      </c>
      <c r="O44">
        <f t="shared" si="0"/>
        <v>30600</v>
      </c>
    </row>
    <row r="45" spans="1:15" x14ac:dyDescent="0.25">
      <c r="A45" s="2">
        <v>22</v>
      </c>
      <c r="B45" t="s">
        <v>30</v>
      </c>
      <c r="C45" t="s">
        <v>31</v>
      </c>
      <c r="D45">
        <v>1415.177839323253</v>
      </c>
      <c r="E45">
        <v>1806.61819567406</v>
      </c>
      <c r="F45">
        <v>117.61892519584801</v>
      </c>
      <c r="G45" t="s">
        <v>5</v>
      </c>
      <c r="H45">
        <f>_xlfn.XLOOKUP($B45,'raw data results'!$A:$A,'raw data results'!F:F)</f>
        <v>3722.6150099598299</v>
      </c>
      <c r="I45">
        <f>_xlfn.XLOOKUP($B45,'raw data results'!$A:$A,'raw data results'!G:G)</f>
        <v>1975.61240566581</v>
      </c>
      <c r="J45">
        <f>_xlfn.XLOOKUP($B45,'raw data results'!$A:$A,'raw data results'!H:H)</f>
        <v>860.04422805808304</v>
      </c>
      <c r="K45">
        <f>_xlfn.XLOOKUP($B45,'raw data results'!$A:$A,'raw data results'!I:I)</f>
        <v>4441.7200231628303</v>
      </c>
      <c r="L45">
        <f>_xlfn.XLOOKUP($B45,'raw data results'!$A:$A,'raw data results'!J:J)</f>
        <v>5473.6110870155999</v>
      </c>
      <c r="M45">
        <f>_xlfn.XLOOKUP($B45,'raw data results'!$A:$A,'raw data results'!K:K)</f>
        <v>3896.39167344408</v>
      </c>
      <c r="N45">
        <f>_xlfn.XLOOKUP($B45,'raw data results'!$A:$A,'raw data results'!L:L)</f>
        <v>2533.4186865132901</v>
      </c>
      <c r="O45">
        <f t="shared" si="0"/>
        <v>22903.413113819523</v>
      </c>
    </row>
    <row r="46" spans="1:15" x14ac:dyDescent="0.25">
      <c r="B46" t="s">
        <v>30</v>
      </c>
      <c r="G46" t="s">
        <v>60</v>
      </c>
      <c r="H46">
        <v>3000</v>
      </c>
      <c r="I46">
        <v>840</v>
      </c>
      <c r="J46">
        <v>840</v>
      </c>
      <c r="K46">
        <v>5040</v>
      </c>
      <c r="L46">
        <v>6240</v>
      </c>
      <c r="M46">
        <v>6960</v>
      </c>
      <c r="N46">
        <v>2160</v>
      </c>
      <c r="O46">
        <f t="shared" si="0"/>
        <v>25080</v>
      </c>
    </row>
    <row r="47" spans="1:15" x14ac:dyDescent="0.25">
      <c r="A47" s="2">
        <v>23</v>
      </c>
      <c r="B47" t="s">
        <v>32</v>
      </c>
      <c r="C47" t="s">
        <v>13</v>
      </c>
      <c r="D47">
        <v>845.27351296227573</v>
      </c>
      <c r="E47">
        <v>1138.349998467146</v>
      </c>
      <c r="F47">
        <v>30.618483883451749</v>
      </c>
      <c r="G47" t="s">
        <v>5</v>
      </c>
      <c r="H47">
        <f>_xlfn.XLOOKUP($B47,'raw data results'!$A:$A,'raw data results'!F:F)</f>
        <v>4604.2740167440197</v>
      </c>
      <c r="I47">
        <f>_xlfn.XLOOKUP($B47,'raw data results'!$A:$A,'raw data results'!G:G)</f>
        <v>5228.9601504857101</v>
      </c>
      <c r="J47">
        <f>_xlfn.XLOOKUP($B47,'raw data results'!$A:$A,'raw data results'!H:H)</f>
        <v>3448.7276040879401</v>
      </c>
      <c r="K47">
        <f>_xlfn.XLOOKUP($B47,'raw data results'!$A:$A,'raw data results'!I:I)</f>
        <v>6358.0723603240704</v>
      </c>
      <c r="L47">
        <f>_xlfn.XLOOKUP($B47,'raw data results'!$A:$A,'raw data results'!J:J)</f>
        <v>5966.3839876949596</v>
      </c>
      <c r="M47">
        <f>_xlfn.XLOOKUP($B47,'raw data results'!$A:$A,'raw data results'!K:K)</f>
        <v>2674.1605149064799</v>
      </c>
      <c r="N47">
        <f>_xlfn.XLOOKUP($B47,'raw data results'!$A:$A,'raw data results'!L:L)</f>
        <v>6059.0537084090702</v>
      </c>
      <c r="O47">
        <f t="shared" ref="O47:O54" si="1">SUM(H47:N47)</f>
        <v>34339.63234265225</v>
      </c>
    </row>
    <row r="48" spans="1:15" x14ac:dyDescent="0.25">
      <c r="B48" t="s">
        <v>32</v>
      </c>
      <c r="G48" t="s">
        <v>60</v>
      </c>
      <c r="H48">
        <v>5160</v>
      </c>
      <c r="I48">
        <v>3720</v>
      </c>
      <c r="J48">
        <v>3000</v>
      </c>
      <c r="K48">
        <v>4800</v>
      </c>
      <c r="L48">
        <v>6720</v>
      </c>
      <c r="M48">
        <v>2400</v>
      </c>
      <c r="N48">
        <v>7800</v>
      </c>
      <c r="O48">
        <f t="shared" si="1"/>
        <v>33600</v>
      </c>
    </row>
    <row r="49" spans="1:15" x14ac:dyDescent="0.25">
      <c r="A49" s="2">
        <v>24</v>
      </c>
      <c r="B49" t="s">
        <v>33</v>
      </c>
      <c r="C49" t="s">
        <v>34</v>
      </c>
      <c r="D49">
        <v>1162.319049978976</v>
      </c>
      <c r="E49">
        <v>1413.76919906798</v>
      </c>
      <c r="F49">
        <v>47.450621527806177</v>
      </c>
      <c r="G49" t="s">
        <v>5</v>
      </c>
      <c r="H49">
        <f>_xlfn.XLOOKUP($B49,'raw data results'!$A:$A,'raw data results'!F:F)</f>
        <v>2702.0542836682598</v>
      </c>
      <c r="I49">
        <f>_xlfn.XLOOKUP($B49,'raw data results'!$A:$A,'raw data results'!G:G)</f>
        <v>3600.0081386765901</v>
      </c>
      <c r="J49">
        <f>_xlfn.XLOOKUP($B49,'raw data results'!$A:$A,'raw data results'!H:H)</f>
        <v>1528.7177462582799</v>
      </c>
      <c r="K49">
        <f>_xlfn.XLOOKUP($B49,'raw data results'!$A:$A,'raw data results'!I:I)</f>
        <v>4074.5178064551501</v>
      </c>
      <c r="L49">
        <f>_xlfn.XLOOKUP($B49,'raw data results'!$A:$A,'raw data results'!J:J)</f>
        <v>3383.0909731435499</v>
      </c>
      <c r="M49">
        <f>_xlfn.XLOOKUP($B49,'raw data results'!$A:$A,'raw data results'!K:K)</f>
        <v>1902.71242168052</v>
      </c>
      <c r="N49">
        <f>_xlfn.XLOOKUP($B49,'raw data results'!$A:$A,'raw data results'!L:L)</f>
        <v>5741.6373249108601</v>
      </c>
      <c r="O49">
        <f t="shared" si="1"/>
        <v>22932.73869479321</v>
      </c>
    </row>
    <row r="50" spans="1:15" x14ac:dyDescent="0.25">
      <c r="B50" t="s">
        <v>33</v>
      </c>
      <c r="G50" t="s">
        <v>60</v>
      </c>
      <c r="H50">
        <v>1800</v>
      </c>
      <c r="I50">
        <v>7200</v>
      </c>
      <c r="J50">
        <v>2640</v>
      </c>
      <c r="K50">
        <v>6120</v>
      </c>
      <c r="L50">
        <v>5400</v>
      </c>
      <c r="M50">
        <v>1200</v>
      </c>
      <c r="N50">
        <v>4200</v>
      </c>
      <c r="O50">
        <f t="shared" si="1"/>
        <v>28560</v>
      </c>
    </row>
    <row r="51" spans="1:15" x14ac:dyDescent="0.25">
      <c r="A51" s="2">
        <v>25</v>
      </c>
      <c r="B51" t="s">
        <v>35</v>
      </c>
      <c r="C51" t="s">
        <v>36</v>
      </c>
      <c r="D51">
        <v>557.60455570700697</v>
      </c>
      <c r="E51">
        <v>646.23996810600215</v>
      </c>
      <c r="F51">
        <v>22.891942167841481</v>
      </c>
      <c r="G51" t="s">
        <v>5</v>
      </c>
      <c r="H51">
        <f>_xlfn.XLOOKUP($B51,'raw data results'!$A:$A,'raw data results'!F:F)</f>
        <v>2777.7834798683398</v>
      </c>
      <c r="I51">
        <f>_xlfn.XLOOKUP($B51,'raw data results'!$A:$A,'raw data results'!G:G)</f>
        <v>1829.46013329787</v>
      </c>
      <c r="J51">
        <f>_xlfn.XLOOKUP($B51,'raw data results'!$A:$A,'raw data results'!H:H)</f>
        <v>851.92505899821299</v>
      </c>
      <c r="K51">
        <f>_xlfn.XLOOKUP($B51,'raw data results'!$A:$A,'raw data results'!I:I)</f>
        <v>1926.97769919644</v>
      </c>
      <c r="L51">
        <f>_xlfn.XLOOKUP($B51,'raw data results'!$A:$A,'raw data results'!J:J)</f>
        <v>2591.18767387971</v>
      </c>
      <c r="M51">
        <f>_xlfn.XLOOKUP($B51,'raw data results'!$A:$A,'raw data results'!K:K)</f>
        <v>1500.17973580376</v>
      </c>
      <c r="N51">
        <f>_xlfn.XLOOKUP($B51,'raw data results'!$A:$A,'raw data results'!L:L)</f>
        <v>2263.4868148597202</v>
      </c>
      <c r="O51">
        <f t="shared" si="1"/>
        <v>13741.000595904052</v>
      </c>
    </row>
    <row r="52" spans="1:15" x14ac:dyDescent="0.25">
      <c r="B52" t="s">
        <v>35</v>
      </c>
      <c r="G52" t="s">
        <v>60</v>
      </c>
      <c r="H52">
        <v>2520</v>
      </c>
      <c r="I52">
        <v>1200</v>
      </c>
      <c r="J52">
        <v>0</v>
      </c>
      <c r="K52">
        <v>2400</v>
      </c>
      <c r="L52">
        <v>4440</v>
      </c>
      <c r="M52">
        <v>1920</v>
      </c>
      <c r="N52">
        <v>1800</v>
      </c>
      <c r="O52">
        <f t="shared" si="1"/>
        <v>14280</v>
      </c>
    </row>
    <row r="53" spans="1:15" x14ac:dyDescent="0.25">
      <c r="A53" s="2">
        <v>26</v>
      </c>
      <c r="B53" t="s">
        <v>37</v>
      </c>
      <c r="C53" t="s">
        <v>17</v>
      </c>
      <c r="D53">
        <v>500.40376269578962</v>
      </c>
      <c r="E53">
        <v>585.18786845281022</v>
      </c>
      <c r="F53">
        <v>35.183391734850318</v>
      </c>
      <c r="G53" t="s">
        <v>5</v>
      </c>
      <c r="H53">
        <f>_xlfn.XLOOKUP($B53,'raw data results'!$A:$A,'raw data results'!F:F)</f>
        <v>1788.4498797915501</v>
      </c>
      <c r="I53">
        <f>_xlfn.XLOOKUP($B53,'raw data results'!$A:$A,'raw data results'!G:G)</f>
        <v>2163.3224597305998</v>
      </c>
      <c r="J53">
        <f>_xlfn.XLOOKUP($B53,'raw data results'!$A:$A,'raw data results'!H:H)</f>
        <v>1849.7833991980799</v>
      </c>
      <c r="K53">
        <f>_xlfn.XLOOKUP($B53,'raw data results'!$A:$A,'raw data results'!I:I)</f>
        <v>2112.0238183175602</v>
      </c>
      <c r="L53">
        <f>_xlfn.XLOOKUP($B53,'raw data results'!$A:$A,'raw data results'!J:J)</f>
        <v>1892.68898551186</v>
      </c>
      <c r="M53">
        <f>_xlfn.XLOOKUP($B53,'raw data results'!$A:$A,'raw data results'!K:K)</f>
        <v>2076.1380855530901</v>
      </c>
      <c r="N53">
        <f>_xlfn.XLOOKUP($B53,'raw data results'!$A:$A,'raw data results'!L:L)</f>
        <v>1922.70339451269</v>
      </c>
      <c r="O53">
        <f t="shared" si="1"/>
        <v>13805.11002261543</v>
      </c>
    </row>
    <row r="54" spans="1:15" x14ac:dyDescent="0.25">
      <c r="B54" t="s">
        <v>37</v>
      </c>
      <c r="G54" t="s">
        <v>60</v>
      </c>
      <c r="H54">
        <v>3360</v>
      </c>
      <c r="I54">
        <v>1800</v>
      </c>
      <c r="J54">
        <v>1800</v>
      </c>
      <c r="K54">
        <v>2160</v>
      </c>
      <c r="L54">
        <v>3480</v>
      </c>
      <c r="M54">
        <v>1920</v>
      </c>
      <c r="N54">
        <v>1560</v>
      </c>
      <c r="O54">
        <f t="shared" si="1"/>
        <v>16080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3B6-4DD0-4B81-9439-256BF58A91CF}">
  <dimension ref="A1:L27"/>
  <sheetViews>
    <sheetView workbookViewId="0">
      <selection activeCell="H14" sqref="H14"/>
    </sheetView>
  </sheetViews>
  <sheetFormatPr baseColWidth="10" defaultRowHeight="15" x14ac:dyDescent="0.25"/>
  <cols>
    <col min="2" max="2" width="12.140625" bestFit="1" customWidth="1"/>
    <col min="6" max="6" width="12" bestFit="1" customWidth="1"/>
  </cols>
  <sheetData>
    <row r="1" spans="1:12" x14ac:dyDescent="0.25">
      <c r="A1" s="1" t="s">
        <v>0</v>
      </c>
      <c r="B1" s="1" t="s">
        <v>69</v>
      </c>
      <c r="C1" s="1" t="s">
        <v>3</v>
      </c>
      <c r="D1" s="1" t="s">
        <v>2</v>
      </c>
      <c r="E1" s="1" t="s">
        <v>4</v>
      </c>
      <c r="F1" s="1" t="s">
        <v>70</v>
      </c>
    </row>
    <row r="2" spans="1:12" x14ac:dyDescent="0.25">
      <c r="A2" t="s">
        <v>6</v>
      </c>
      <c r="B2" t="s">
        <v>71</v>
      </c>
      <c r="C2">
        <v>3090.3864738811362</v>
      </c>
      <c r="D2">
        <v>2789.7850453656829</v>
      </c>
      <c r="E2">
        <v>15.02021370453294</v>
      </c>
      <c r="F2">
        <v>11785.1044613049</v>
      </c>
      <c r="G2">
        <v>20775.7253323818</v>
      </c>
      <c r="H2">
        <v>8548.4634405929501</v>
      </c>
      <c r="I2">
        <v>27284.170942641202</v>
      </c>
      <c r="J2">
        <v>23235.200874748301</v>
      </c>
      <c r="K2">
        <v>20879.168781847002</v>
      </c>
      <c r="L2">
        <v>16005.330436297299</v>
      </c>
    </row>
    <row r="3" spans="1:12" x14ac:dyDescent="0.25">
      <c r="A3" t="s">
        <v>8</v>
      </c>
      <c r="B3" t="s">
        <v>71</v>
      </c>
      <c r="C3">
        <v>325.6132192663635</v>
      </c>
      <c r="D3">
        <v>265.88478648459233</v>
      </c>
      <c r="E3">
        <v>19.673313441745581</v>
      </c>
      <c r="F3">
        <v>848.64861228010898</v>
      </c>
      <c r="G3">
        <v>985.45749425148995</v>
      </c>
      <c r="H3">
        <v>817.21841400475296</v>
      </c>
      <c r="I3">
        <v>1326.92817488326</v>
      </c>
      <c r="J3">
        <v>1308.2655033456499</v>
      </c>
      <c r="K3">
        <v>524.29144499133099</v>
      </c>
      <c r="L3">
        <v>1507.99685085125</v>
      </c>
    </row>
    <row r="4" spans="1:12" x14ac:dyDescent="0.25">
      <c r="A4" t="s">
        <v>10</v>
      </c>
      <c r="B4" t="s">
        <v>71</v>
      </c>
      <c r="C4">
        <v>289.25696457384038</v>
      </c>
      <c r="D4">
        <v>250.80578948403831</v>
      </c>
      <c r="E4">
        <v>38.313701425808979</v>
      </c>
      <c r="F4">
        <v>969.82152242163897</v>
      </c>
      <c r="G4">
        <v>1270.8031320048999</v>
      </c>
      <c r="H4">
        <v>799.34177974265594</v>
      </c>
      <c r="I4">
        <v>1214.33541398999</v>
      </c>
      <c r="J4">
        <v>1344.1682636764999</v>
      </c>
      <c r="K4">
        <v>910.23060879101104</v>
      </c>
      <c r="L4">
        <v>1556.88259712437</v>
      </c>
    </row>
    <row r="5" spans="1:12" x14ac:dyDescent="0.25">
      <c r="A5" t="s">
        <v>12</v>
      </c>
      <c r="B5" t="s">
        <v>72</v>
      </c>
      <c r="C5">
        <v>336.51941931383521</v>
      </c>
      <c r="D5">
        <v>285.72523107534869</v>
      </c>
      <c r="E5">
        <v>42.382452450219063</v>
      </c>
      <c r="F5">
        <v>408.49942010535699</v>
      </c>
      <c r="G5">
        <v>396.894299544467</v>
      </c>
      <c r="H5">
        <v>399.260802141429</v>
      </c>
      <c r="I5">
        <v>399.308869862846</v>
      </c>
      <c r="J5">
        <v>399.30984620060502</v>
      </c>
      <c r="K5">
        <v>399.30986603169703</v>
      </c>
      <c r="L5">
        <v>399.30986643450098</v>
      </c>
    </row>
    <row r="6" spans="1:12" x14ac:dyDescent="0.25">
      <c r="A6" t="s">
        <v>14</v>
      </c>
      <c r="B6" t="s">
        <v>73</v>
      </c>
      <c r="C6">
        <v>283.35025314772821</v>
      </c>
      <c r="D6">
        <v>226.14165476254959</v>
      </c>
      <c r="E6">
        <v>80.63938762591782</v>
      </c>
      <c r="F6">
        <v>571.01567821729896</v>
      </c>
      <c r="G6">
        <v>543.10840496441301</v>
      </c>
      <c r="H6">
        <v>550.76698814156498</v>
      </c>
      <c r="I6">
        <v>550.157164477116</v>
      </c>
      <c r="J6">
        <v>551.11001323880896</v>
      </c>
      <c r="K6">
        <v>551.67530152485801</v>
      </c>
      <c r="L6">
        <v>552.30761179436399</v>
      </c>
    </row>
    <row r="7" spans="1:12" x14ac:dyDescent="0.25">
      <c r="A7" t="s">
        <v>16</v>
      </c>
      <c r="B7" t="s">
        <v>71</v>
      </c>
      <c r="C7">
        <v>2677.957456965722</v>
      </c>
      <c r="D7">
        <v>2073.0938073960428</v>
      </c>
      <c r="E7">
        <v>93.934356876809417</v>
      </c>
      <c r="F7">
        <v>2210.0811869050999</v>
      </c>
      <c r="G7">
        <v>417.92077651223502</v>
      </c>
      <c r="H7">
        <v>-669.71110357284897</v>
      </c>
      <c r="I7">
        <v>-550.797599837966</v>
      </c>
      <c r="J7">
        <v>1224.1875953840699</v>
      </c>
      <c r="K7">
        <v>41.383251108141998</v>
      </c>
      <c r="L7">
        <v>-614.44074631425894</v>
      </c>
    </row>
    <row r="8" spans="1:12" x14ac:dyDescent="0.25">
      <c r="A8" t="s">
        <v>18</v>
      </c>
      <c r="B8" t="s">
        <v>71</v>
      </c>
      <c r="C8">
        <v>212.0893162028425</v>
      </c>
      <c r="D8">
        <v>184.49809017289999</v>
      </c>
      <c r="E8">
        <v>19.131370087621271</v>
      </c>
      <c r="F8">
        <v>667.38325854127595</v>
      </c>
      <c r="G8">
        <v>657.437112840086</v>
      </c>
      <c r="H8">
        <v>1215.92423553862</v>
      </c>
      <c r="I8">
        <v>1792.23073273146</v>
      </c>
      <c r="J8">
        <v>658.63633269079105</v>
      </c>
      <c r="K8">
        <v>1435.8119693523099</v>
      </c>
      <c r="L8">
        <v>714.20287963974499</v>
      </c>
    </row>
    <row r="9" spans="1:12" x14ac:dyDescent="0.25">
      <c r="A9" t="s">
        <v>20</v>
      </c>
      <c r="B9" t="s">
        <v>71</v>
      </c>
      <c r="C9">
        <v>945.54055499715469</v>
      </c>
      <c r="D9">
        <v>690.10434007921583</v>
      </c>
      <c r="E9">
        <v>65.43230132873235</v>
      </c>
      <c r="F9">
        <v>4424.4422436700397</v>
      </c>
      <c r="G9">
        <v>4362.2525422956796</v>
      </c>
      <c r="H9">
        <v>-156.949744731864</v>
      </c>
      <c r="I9">
        <v>4582.4778343936396</v>
      </c>
      <c r="J9">
        <v>4022.9449906351101</v>
      </c>
      <c r="K9">
        <v>3854.6660221514699</v>
      </c>
      <c r="L9">
        <v>4245.5893566062596</v>
      </c>
    </row>
    <row r="10" spans="1:12" x14ac:dyDescent="0.25">
      <c r="A10" t="s">
        <v>21</v>
      </c>
      <c r="B10" t="s">
        <v>71</v>
      </c>
      <c r="C10">
        <v>5183.531143274542</v>
      </c>
      <c r="D10">
        <v>4466.4498699305832</v>
      </c>
      <c r="E10">
        <v>56.686771428020478</v>
      </c>
      <c r="F10">
        <v>17349.2336667417</v>
      </c>
      <c r="G10">
        <v>13605.0007873709</v>
      </c>
      <c r="H10">
        <v>13171.572180532999</v>
      </c>
      <c r="I10">
        <v>13991.4464104946</v>
      </c>
      <c r="J10">
        <v>22603.0100281288</v>
      </c>
      <c r="K10">
        <v>13637.126900875701</v>
      </c>
      <c r="L10">
        <v>14921.903476435</v>
      </c>
    </row>
    <row r="11" spans="1:12" x14ac:dyDescent="0.25">
      <c r="A11" t="s">
        <v>23</v>
      </c>
      <c r="B11" t="s">
        <v>74</v>
      </c>
      <c r="C11">
        <v>696.91352815002801</v>
      </c>
      <c r="D11">
        <v>539.23315875307014</v>
      </c>
      <c r="E11">
        <v>28.82065771577534</v>
      </c>
      <c r="F11">
        <v>2130.7054902247401</v>
      </c>
      <c r="G11">
        <v>1712.72904282217</v>
      </c>
      <c r="H11">
        <v>1786.46003082538</v>
      </c>
      <c r="I11">
        <v>2197.7575170872701</v>
      </c>
      <c r="J11">
        <v>2385.5745286661299</v>
      </c>
      <c r="K11">
        <v>2140.6227184053</v>
      </c>
      <c r="L11">
        <v>1825.82502204241</v>
      </c>
    </row>
    <row r="12" spans="1:12" x14ac:dyDescent="0.25">
      <c r="A12" t="s">
        <v>25</v>
      </c>
      <c r="B12" t="s">
        <v>71</v>
      </c>
      <c r="C12">
        <v>3145.9381927232489</v>
      </c>
      <c r="D12">
        <v>2539.3575591094032</v>
      </c>
      <c r="E12">
        <v>60.723434556571092</v>
      </c>
      <c r="F12">
        <v>3134.4529381160301</v>
      </c>
      <c r="G12">
        <v>112.134012206096</v>
      </c>
      <c r="H12">
        <v>379.10064945168</v>
      </c>
      <c r="I12">
        <v>1326.1226629953801</v>
      </c>
      <c r="J12">
        <v>2366.58558733774</v>
      </c>
      <c r="K12">
        <v>859.64177302372798</v>
      </c>
      <c r="L12">
        <v>352.23949770237198</v>
      </c>
    </row>
    <row r="13" spans="1:12" x14ac:dyDescent="0.25">
      <c r="A13" t="s">
        <v>27</v>
      </c>
      <c r="B13" t="s">
        <v>71</v>
      </c>
      <c r="C13">
        <v>1731.708734891529</v>
      </c>
      <c r="D13">
        <v>1514.751410040393</v>
      </c>
      <c r="E13">
        <v>36.208665083501877</v>
      </c>
      <c r="F13">
        <v>4244.9721539972797</v>
      </c>
      <c r="G13">
        <v>4951.5757395134897</v>
      </c>
      <c r="H13">
        <v>3299.9912990818002</v>
      </c>
      <c r="I13">
        <v>5190.8371963485897</v>
      </c>
      <c r="J13">
        <v>4326.4615921160803</v>
      </c>
      <c r="K13">
        <v>4260.7554377544702</v>
      </c>
      <c r="L13">
        <v>4403.4192293533697</v>
      </c>
    </row>
    <row r="14" spans="1:12" x14ac:dyDescent="0.25">
      <c r="A14" t="s">
        <v>28</v>
      </c>
      <c r="B14" t="s">
        <v>71</v>
      </c>
      <c r="C14">
        <v>4169.7097438972578</v>
      </c>
      <c r="D14">
        <v>3203.834712960725</v>
      </c>
      <c r="E14">
        <v>36.387458387023997</v>
      </c>
      <c r="F14">
        <v>8972.1097038138396</v>
      </c>
      <c r="G14">
        <v>2873.44995418088</v>
      </c>
      <c r="H14">
        <v>3607.0015375932799</v>
      </c>
      <c r="I14">
        <v>6064.1281948123597</v>
      </c>
      <c r="J14">
        <v>8396.84312729054</v>
      </c>
      <c r="K14">
        <v>5423.7369636203603</v>
      </c>
      <c r="L14">
        <v>5730.3064908504002</v>
      </c>
    </row>
    <row r="15" spans="1:12" x14ac:dyDescent="0.25">
      <c r="A15" t="s">
        <v>29</v>
      </c>
      <c r="B15" t="s">
        <v>71</v>
      </c>
      <c r="C15">
        <v>1274.3323185977581</v>
      </c>
      <c r="D15">
        <v>910.03924899935123</v>
      </c>
      <c r="E15">
        <v>38.70509730271668</v>
      </c>
      <c r="F15">
        <v>4595.9905118816396</v>
      </c>
      <c r="G15">
        <v>3090.5625464940799</v>
      </c>
      <c r="H15">
        <v>1061.1332852507801</v>
      </c>
      <c r="I15">
        <v>4785.2606109100598</v>
      </c>
      <c r="J15">
        <v>8778.7123308720693</v>
      </c>
      <c r="K15">
        <v>2612.5143607658501</v>
      </c>
      <c r="L15">
        <v>2835.63316741475</v>
      </c>
    </row>
    <row r="16" spans="1:12" x14ac:dyDescent="0.25">
      <c r="A16" t="s">
        <v>30</v>
      </c>
      <c r="B16" t="s">
        <v>71</v>
      </c>
      <c r="C16">
        <v>1125.145450789438</v>
      </c>
      <c r="D16">
        <v>865.52024620103623</v>
      </c>
      <c r="E16">
        <v>34.519373046658721</v>
      </c>
      <c r="F16">
        <v>3722.6150099598299</v>
      </c>
      <c r="G16">
        <v>1975.61240566581</v>
      </c>
      <c r="H16">
        <v>860.04422805808304</v>
      </c>
      <c r="I16">
        <v>4441.7200231628303</v>
      </c>
      <c r="J16">
        <v>5473.6110870155999</v>
      </c>
      <c r="K16">
        <v>3896.39167344408</v>
      </c>
      <c r="L16">
        <v>2533.4186865132901</v>
      </c>
    </row>
    <row r="17" spans="1:12" x14ac:dyDescent="0.25">
      <c r="A17" t="s">
        <v>32</v>
      </c>
      <c r="B17" t="s">
        <v>71</v>
      </c>
      <c r="C17">
        <v>1126.8624658782569</v>
      </c>
      <c r="D17">
        <v>977.17270242230836</v>
      </c>
      <c r="E17">
        <v>20.52977985379291</v>
      </c>
      <c r="F17">
        <v>4604.2740167440197</v>
      </c>
      <c r="G17">
        <v>5228.9601504857101</v>
      </c>
      <c r="H17">
        <v>3448.7276040879401</v>
      </c>
      <c r="I17">
        <v>6358.0723603240704</v>
      </c>
      <c r="J17">
        <v>5966.3839876949596</v>
      </c>
      <c r="K17">
        <v>2674.1605149064799</v>
      </c>
      <c r="L17">
        <v>6059.0537084090702</v>
      </c>
    </row>
    <row r="18" spans="1:12" x14ac:dyDescent="0.25">
      <c r="A18" t="s">
        <v>33</v>
      </c>
      <c r="B18" t="s">
        <v>71</v>
      </c>
      <c r="C18">
        <v>1932.095878855273</v>
      </c>
      <c r="D18">
        <v>1702.8670522465779</v>
      </c>
      <c r="E18">
        <v>44.035162355136883</v>
      </c>
      <c r="F18">
        <v>2702.0542836682598</v>
      </c>
      <c r="G18">
        <v>3600.0081386765901</v>
      </c>
      <c r="H18">
        <v>1528.7177462582799</v>
      </c>
      <c r="I18">
        <v>4074.5178064551501</v>
      </c>
      <c r="J18">
        <v>3383.0909731435499</v>
      </c>
      <c r="K18">
        <v>1902.71242168052</v>
      </c>
      <c r="L18">
        <v>5741.6373249108601</v>
      </c>
    </row>
    <row r="19" spans="1:12" x14ac:dyDescent="0.25">
      <c r="A19" t="s">
        <v>35</v>
      </c>
      <c r="B19" t="s">
        <v>71</v>
      </c>
      <c r="C19">
        <v>666.695779984198</v>
      </c>
      <c r="D19">
        <v>605.60379893806908</v>
      </c>
      <c r="E19">
        <v>26.771880902661682</v>
      </c>
      <c r="F19">
        <v>2777.7834798683398</v>
      </c>
      <c r="G19">
        <v>1829.46013329787</v>
      </c>
      <c r="H19">
        <v>851.92505899821299</v>
      </c>
      <c r="I19">
        <v>1926.97769919644</v>
      </c>
      <c r="J19">
        <v>2591.18767387971</v>
      </c>
      <c r="K19">
        <v>1500.17973580376</v>
      </c>
      <c r="L19">
        <v>2263.4868148597202</v>
      </c>
    </row>
    <row r="20" spans="1:12" x14ac:dyDescent="0.25">
      <c r="A20" t="s">
        <v>37</v>
      </c>
      <c r="B20" t="s">
        <v>75</v>
      </c>
      <c r="C20">
        <v>868.66417987480838</v>
      </c>
      <c r="D20">
        <v>591.25495076764571</v>
      </c>
      <c r="E20">
        <v>21.276937864461878</v>
      </c>
      <c r="F20">
        <v>1788.4498797915501</v>
      </c>
      <c r="G20">
        <v>2163.3224597305998</v>
      </c>
      <c r="H20">
        <v>1849.7833991980799</v>
      </c>
      <c r="I20">
        <v>2112.0238183175602</v>
      </c>
      <c r="J20">
        <v>1892.68898551186</v>
      </c>
      <c r="K20">
        <v>2076.1380855530901</v>
      </c>
      <c r="L20">
        <v>1922.70339451269</v>
      </c>
    </row>
    <row r="21" spans="1:12" x14ac:dyDescent="0.25">
      <c r="A21" t="s">
        <v>38</v>
      </c>
      <c r="B21" t="s">
        <v>76</v>
      </c>
      <c r="C21">
        <v>5310.0461833044301</v>
      </c>
      <c r="D21">
        <v>4803.033877682924</v>
      </c>
      <c r="E21">
        <v>47.621670128839718</v>
      </c>
      <c r="F21">
        <v>14746.1481356922</v>
      </c>
      <c r="G21">
        <v>13474.629776538601</v>
      </c>
      <c r="H21">
        <v>14330.2407438964</v>
      </c>
      <c r="I21">
        <v>13623.5860486129</v>
      </c>
      <c r="J21">
        <v>14199.858391382</v>
      </c>
      <c r="K21">
        <v>13729.575025992801</v>
      </c>
      <c r="L21">
        <v>14113.3474547324</v>
      </c>
    </row>
    <row r="22" spans="1:12" x14ac:dyDescent="0.25">
      <c r="A22" t="s">
        <v>40</v>
      </c>
      <c r="B22" t="s">
        <v>73</v>
      </c>
      <c r="C22">
        <v>954.00798721453782</v>
      </c>
      <c r="D22">
        <v>704.59384744667773</v>
      </c>
      <c r="E22">
        <v>19.498042572053119</v>
      </c>
      <c r="F22">
        <v>5032.1603758577003</v>
      </c>
      <c r="G22">
        <v>4949.3467949375699</v>
      </c>
      <c r="H22">
        <v>5026.6433685158299</v>
      </c>
      <c r="I22">
        <v>5027.7592436941004</v>
      </c>
      <c r="J22">
        <v>5019.2245333912597</v>
      </c>
      <c r="K22">
        <v>5017.0849351731104</v>
      </c>
      <c r="L22">
        <v>5015.45616794534</v>
      </c>
    </row>
    <row r="23" spans="1:12" x14ac:dyDescent="0.25">
      <c r="A23" t="s">
        <v>41</v>
      </c>
      <c r="B23" t="s">
        <v>71</v>
      </c>
      <c r="C23">
        <v>2436.3724526272058</v>
      </c>
      <c r="D23">
        <v>1589.4799112347889</v>
      </c>
      <c r="E23">
        <v>9.7546061883308681</v>
      </c>
      <c r="F23">
        <v>12528.9438033565</v>
      </c>
      <c r="G23">
        <v>17288.6929996459</v>
      </c>
      <c r="H23">
        <v>9591.6278330326604</v>
      </c>
      <c r="I23">
        <v>15394.786209501901</v>
      </c>
      <c r="J23">
        <v>12499.081896644901</v>
      </c>
      <c r="K23">
        <v>15095.517533950901</v>
      </c>
      <c r="L23">
        <v>14505.706037005701</v>
      </c>
    </row>
    <row r="24" spans="1:12" x14ac:dyDescent="0.25">
      <c r="A24" t="s">
        <v>43</v>
      </c>
      <c r="B24" t="s">
        <v>71</v>
      </c>
      <c r="C24">
        <v>679.54202023094751</v>
      </c>
      <c r="D24">
        <v>531.75651445594519</v>
      </c>
      <c r="E24">
        <v>16.014945371413901</v>
      </c>
      <c r="F24">
        <v>2554.4443958842498</v>
      </c>
      <c r="G24">
        <v>3280.0897473397499</v>
      </c>
      <c r="H24">
        <v>1466.3132727594</v>
      </c>
      <c r="I24">
        <v>3107.2027909972298</v>
      </c>
      <c r="J24">
        <v>2247.01869254336</v>
      </c>
      <c r="K24">
        <v>2027.9110340597299</v>
      </c>
      <c r="L24">
        <v>2444.72446522463</v>
      </c>
    </row>
    <row r="25" spans="1:12" x14ac:dyDescent="0.25">
      <c r="A25" t="s">
        <v>45</v>
      </c>
      <c r="B25" t="s">
        <v>77</v>
      </c>
      <c r="C25">
        <v>4719.5831860222561</v>
      </c>
      <c r="D25">
        <v>4067.3421744972152</v>
      </c>
      <c r="E25">
        <v>80.836004226640881</v>
      </c>
      <c r="F25">
        <v>9924.2707755007305</v>
      </c>
      <c r="G25">
        <v>9902.1670015093805</v>
      </c>
      <c r="H25">
        <v>9902.1670015093805</v>
      </c>
      <c r="I25">
        <v>9902.1670015093805</v>
      </c>
      <c r="J25">
        <v>9902.1670015093805</v>
      </c>
      <c r="K25">
        <v>9902.1670015093805</v>
      </c>
      <c r="L25">
        <v>9902.1670015093805</v>
      </c>
    </row>
    <row r="26" spans="1:12" x14ac:dyDescent="0.25">
      <c r="A26" t="s">
        <v>47</v>
      </c>
      <c r="B26" t="s">
        <v>71</v>
      </c>
      <c r="C26">
        <v>1063.106054566987</v>
      </c>
      <c r="D26">
        <v>885.06988696934343</v>
      </c>
      <c r="E26">
        <v>104.7254715715891</v>
      </c>
      <c r="F26">
        <v>1330.8085839663199</v>
      </c>
      <c r="G26">
        <v>395.85826425224798</v>
      </c>
      <c r="H26">
        <v>242.66175429473699</v>
      </c>
      <c r="I26">
        <v>700.46915054018098</v>
      </c>
      <c r="J26">
        <v>2151.4172792049299</v>
      </c>
      <c r="K26">
        <v>1214.3822892600799</v>
      </c>
      <c r="L26">
        <v>871.69094882300703</v>
      </c>
    </row>
    <row r="27" spans="1:12" x14ac:dyDescent="0.25">
      <c r="A27" t="s">
        <v>49</v>
      </c>
      <c r="B27" t="s">
        <v>71</v>
      </c>
      <c r="C27">
        <v>979.96350471042831</v>
      </c>
      <c r="D27">
        <v>806.65381249375594</v>
      </c>
      <c r="E27">
        <v>274.31817394825458</v>
      </c>
      <c r="F27">
        <v>1535.2099689751301</v>
      </c>
      <c r="G27">
        <v>1551.27302029422</v>
      </c>
      <c r="H27">
        <v>1500.35678638693</v>
      </c>
      <c r="I27">
        <v>2021.4574340751401</v>
      </c>
      <c r="J27">
        <v>1583.23490821925</v>
      </c>
      <c r="K27">
        <v>1869.6288237998101</v>
      </c>
      <c r="L27">
        <v>1646.70384360455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F7637ACF-3239-4DCD-830B-C29E56C08056}">
  <ds:schemaRefs/>
</ds:datastoreItem>
</file>

<file path=customXml/itemProps2.xml><?xml version="1.0" encoding="utf-8"?>
<ds:datastoreItem xmlns:ds="http://schemas.openxmlformats.org/officeDocument/2006/customXml" ds:itemID="{80F46845-9EE4-4C14-8CEE-B2C153F7D146}">
  <ds:schemaRefs/>
</ds:datastoreItem>
</file>

<file path=customXml/itemProps3.xml><?xml version="1.0" encoding="utf-8"?>
<ds:datastoreItem xmlns:ds="http://schemas.openxmlformats.org/officeDocument/2006/customXml" ds:itemID="{F73359B8-CC6E-41EF-8FD7-6E7DC6F3C30F}">
  <ds:schemaRefs/>
</ds:datastoreItem>
</file>

<file path=customXml/itemProps4.xml><?xml version="1.0" encoding="utf-8"?>
<ds:datastoreItem xmlns:ds="http://schemas.openxmlformats.org/officeDocument/2006/customXml" ds:itemID="{28F2A2D0-508C-4007-AA7B-BA973307D253}">
  <ds:schemaRefs/>
</ds:datastoreItem>
</file>

<file path=customXml/itemProps5.xml><?xml version="1.0" encoding="utf-8"?>
<ds:datastoreItem xmlns:ds="http://schemas.openxmlformats.org/officeDocument/2006/customXml" ds:itemID="{CA0A201E-EB0B-482A-8729-0820DE0F1192}">
  <ds:schemaRefs/>
</ds:datastoreItem>
</file>

<file path=customXml/itemProps6.xml><?xml version="1.0" encoding="utf-8"?>
<ds:datastoreItem xmlns:ds="http://schemas.openxmlformats.org/officeDocument/2006/customXml" ds:itemID="{25C07120-F60F-41C5-8848-2712264D18C3}">
  <ds:schemaRefs/>
</ds:datastoreItem>
</file>

<file path=customXml/itemProps7.xml><?xml version="1.0" encoding="utf-8"?>
<ds:datastoreItem xmlns:ds="http://schemas.openxmlformats.org/officeDocument/2006/customXml" ds:itemID="{806BDB6F-4839-4D55-8540-1C04BFD24F9B}">
  <ds:schemaRefs/>
</ds:datastoreItem>
</file>

<file path=customXml/itemProps8.xml><?xml version="1.0" encoding="utf-8"?>
<ds:datastoreItem xmlns:ds="http://schemas.openxmlformats.org/officeDocument/2006/customXml" ds:itemID="{38397E51-AF97-4CD6-92A2-2F8D069D3E08}">
  <ds:schemaRefs/>
</ds:datastoreItem>
</file>

<file path=customXml/itemProps9.xml><?xml version="1.0" encoding="utf-8"?>
<ds:datastoreItem xmlns:ds="http://schemas.openxmlformats.org/officeDocument/2006/customXml" ds:itemID="{334C172A-8370-4F76-A6E0-D7E0C18D512D}">
  <ds:schemaRefs/>
</ds:datastoreItem>
</file>

<file path=customXml/itemProps10.xml><?xml version="1.0" encoding="utf-8"?>
<ds:datastoreItem xmlns:ds="http://schemas.openxmlformats.org/officeDocument/2006/customXml" ds:itemID="{DDE7201D-CBEE-4941-847E-5E09DFE55219}">
  <ds:schemaRefs/>
</ds:datastoreItem>
</file>

<file path=customXml/itemProps11.xml><?xml version="1.0" encoding="utf-8"?>
<ds:datastoreItem xmlns:ds="http://schemas.openxmlformats.org/officeDocument/2006/customXml" ds:itemID="{D33C3EF4-C9A0-4670-B44D-15BC7E8A9EED}">
  <ds:schemaRefs/>
</ds:datastoreItem>
</file>

<file path=customXml/itemProps12.xml><?xml version="1.0" encoding="utf-8"?>
<ds:datastoreItem xmlns:ds="http://schemas.openxmlformats.org/officeDocument/2006/customXml" ds:itemID="{457BB523-C578-4C70-94A0-F6DDA996EAA7}">
  <ds:schemaRefs/>
</ds:datastoreItem>
</file>

<file path=customXml/itemProps13.xml><?xml version="1.0" encoding="utf-8"?>
<ds:datastoreItem xmlns:ds="http://schemas.openxmlformats.org/officeDocument/2006/customXml" ds:itemID="{74657136-4BA3-45B5-9F5D-A7236D053D03}">
  <ds:schemaRefs/>
</ds:datastoreItem>
</file>

<file path=customXml/itemProps14.xml><?xml version="1.0" encoding="utf-8"?>
<ds:datastoreItem xmlns:ds="http://schemas.openxmlformats.org/officeDocument/2006/customXml" ds:itemID="{14B7B712-0663-4450-9B8E-AD499730FFA8}">
  <ds:schemaRefs/>
</ds:datastoreItem>
</file>

<file path=customXml/itemProps15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FE7CC479-DC22-4634-BA16-32D9A1755A64}">
  <ds:schemaRefs/>
</ds:datastoreItem>
</file>

<file path=customXml/itemProps17.xml><?xml version="1.0" encoding="utf-8"?>
<ds:datastoreItem xmlns:ds="http://schemas.openxmlformats.org/officeDocument/2006/customXml" ds:itemID="{C86FEBF5-687A-4C07-878A-3329454F5B1C}">
  <ds:schemaRefs/>
</ds:datastoreItem>
</file>

<file path=customXml/itemProps18.xml><?xml version="1.0" encoding="utf-8"?>
<ds:datastoreItem xmlns:ds="http://schemas.openxmlformats.org/officeDocument/2006/customXml" ds:itemID="{83480261-0343-43FF-B522-5F95E5A494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 table</vt:lpstr>
      <vt:lpstr>transformed data</vt:lpstr>
      <vt:lpstr>raw 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2025-06-24T02:24:44Z</dcterms:modified>
</cp:coreProperties>
</file>