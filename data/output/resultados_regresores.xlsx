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"/>
    </mc:Choice>
  </mc:AlternateContent>
  <xr:revisionPtr revIDLastSave="0" documentId="13_ncr:1_{F99EFB23-3757-45CA-9652-AB276C795750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pivot table" sheetId="3" r:id="rId1"/>
    <sheet name="transformed data" sheetId="1" r:id="rId2"/>
    <sheet name="raw data results" sheetId="5" r:id="rId3"/>
  </sheets>
  <definedNames>
    <definedName name="_xlnm._FilterDatabase" localSheetId="1" hidden="1">'transformed data'!$A$2:$O$54</definedName>
    <definedName name="SegmentaciónDeDatos_SKU">#N/A</definedName>
  </definedNames>
  <calcPr calcId="191029"/>
  <pivotCaches>
    <pivotCache cacheId="35" r:id="rId4"/>
  </pivotCaches>
  <extLst>
    <ext xmlns:x14="http://schemas.microsoft.com/office/spreadsheetml/2009/9/main" uri="{876F7934-8845-4945-9796-88D515C7AA90}">
      <x14:pivotCaches>
        <pivotCache cacheId="4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N49" i="1"/>
  <c r="M49" i="1"/>
  <c r="L49" i="1"/>
  <c r="K49" i="1"/>
  <c r="J49" i="1"/>
  <c r="I49" i="1"/>
  <c r="H49" i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N17" i="1"/>
  <c r="M17" i="1"/>
  <c r="L17" i="1"/>
  <c r="K17" i="1"/>
  <c r="J17" i="1"/>
  <c r="I17" i="1"/>
  <c r="H17" i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N3" i="1"/>
  <c r="M3" i="1"/>
  <c r="L3" i="1"/>
  <c r="K3" i="1"/>
  <c r="J3" i="1"/>
  <c r="I3" i="1"/>
  <c r="H3" i="1"/>
  <c r="O52" i="1"/>
  <c r="O50" i="1"/>
  <c r="O48" i="1"/>
  <c r="O46" i="1"/>
  <c r="O44" i="1"/>
  <c r="O42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0" i="1"/>
  <c r="O36" i="1"/>
  <c r="O38" i="1"/>
  <c r="O54" i="1"/>
  <c r="O3" i="1" l="1"/>
  <c r="O4" i="1"/>
  <c r="O7" i="1"/>
  <c r="O19" i="1"/>
  <c r="O51" i="1"/>
  <c r="O5" i="1"/>
  <c r="O17" i="1"/>
  <c r="O49" i="1"/>
  <c r="O33" i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23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<sst xmlns="http://schemas.openxmlformats.org/spreadsheetml/2006/main" count="242" uniqueCount="74">
  <si>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</si>
  <si>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</si>
  <si>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</si>
  <si>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</si>
  <si>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</si>
  <si>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</si>
  <si>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</si>
  <si>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</si>
  <si>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</si>
  <si>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</si>
  <si>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</si>
  <si>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</si>
  <si>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</si>
  <si>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</si>
  <si>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</si>
  <si>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</si>
  <si>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</si>
  <si>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</si>
  <si>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</si>
  <si>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</si>
  <si>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</si>
  <si>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</si>
  <si>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</si>
  <si>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</si>
  <si>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</si>
  <si>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</si>
  <si>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</si>
  <si>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</si>
  <si>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</si>
  <si>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</si>
  <si>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</si>
  <si>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</si>
  <si>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</si>
  <si>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</si>
  <si>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</si>
  <si>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</si>
  <si>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</si>
  <si>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</si>
  <si>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</si>
  <si>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</si>
  <si>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</si>
  <si>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</si>
  <si>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</si>
  <si>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</si>
  <si>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</si>
  <si>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</si>
  <si>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</si>
  <si>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</si>
  <si>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</si>
  <si>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</si>
  <si>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</si>
  <si>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</si>
  <si>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</si>
  <si>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</si>
  <si>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</si>
  <si>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</si>
  <si>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</si>
  <si>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</si>
  <si>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#</t>
  </si>
  <si>
    <t>Group</t>
  </si>
  <si>
    <t>Pedidos</t>
  </si>
  <si>
    <t>Total</t>
  </si>
  <si>
    <t>Total general</t>
  </si>
  <si>
    <t>WMAPE</t>
  </si>
  <si>
    <t>Forecast (Und)</t>
  </si>
  <si>
    <t>Pedidos (Und)</t>
  </si>
  <si>
    <t>Producto</t>
  </si>
  <si>
    <t>Bias %</t>
  </si>
  <si>
    <t>MAPE  %</t>
  </si>
  <si>
    <t>XGBRegressor</t>
  </si>
  <si>
    <t>ElasticNet</t>
  </si>
  <si>
    <t>RandomForestRegressor</t>
  </si>
  <si>
    <t>KNeighborsRegressor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</si>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</sst>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605330</xdr:colOff>
      <xdr:row>2</xdr:row>
      <xdr:rowOff>26276</xdr:rowOff>
    </xdr:from>
    <xdr:to>
      <xdr:col>10</xdr:col>
      <xdr:colOff>95579</xdr:colOff>
      <xdr:row>12</xdr:row>
      <xdr:rowOff>53866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313" y="407276"/>
              <a:ext cx="1828800" cy="1932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815890972219" createdVersion="5" refreshedVersion="8" minRefreshableVersion="3" recordCount="0" supportSubquery="1" supportAdvancedDrill="1" xr:uid="{C4CB9743-F4F7-4E3B-BA8D-6E96F57B95F5}">
  <cacheSource type="external" connectionId="2"/>
  <cacheFields count="7">
    <cacheField name="[Tabla1].[SKU].[SKU]" caption="SKU" numFmtId="0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1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4" level="32767"/>
    <cacheField name="[Measures].[Suma de Pedidos]" caption="Suma de Pedidos" numFmtId="0" hierarchy="5" level="32767"/>
    <cacheField name="[Measures].[WMAPE]" caption="WMAPE" numFmtId="0" hierarchy="6" level="32767"/>
    <cacheField name="[Measures].[Bias %]" caption="Bias %" numFmtId="0" hierarchy="8" level="32767"/>
    <cacheField name="[Measures].[MAPE Total %]" caption="MAPE Total %" numFmtId="0" hierarchy="9" level="32767"/>
  </cacheFields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815397106482" createdVersion="3" refreshedVersion="8" minRefreshableVersion="3" recordCount="0" supportSubquery="1" supportAdvancedDrill="1" xr:uid="{3C87D9B4-0597-4F7F-AF14-357454AA380A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3930768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35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30" firstHeaderRow="0" firstDataRow="1" firstDataCol="1"/>
  <pivotFields count="7">
    <pivotField axis="axisRow" allDrilled="1" subtotalTop="0" showAll="0" dataSourceSort="1" defaultSubtotal="0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13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2"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439307680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startItem="21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54" totalsRowShown="0" headerRowDxfId="12">
  <autoFilter ref="A2:O54" xr:uid="{AC5160AC-1829-43F3-A27C-CA2B27D5BDDF}"/>
  <tableColumns count="15">
    <tableColumn id="1" xr3:uid="{C3CE245C-8581-4724-B40B-3A95F6007B37}" name="#" dataDxfId="11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N30"/>
  <sheetViews>
    <sheetView tabSelected="1" zoomScaleNormal="100" workbookViewId="0">
      <selection activeCell="N14" sqref="N14"/>
    </sheetView>
  </sheetViews>
  <sheetFormatPr baseColWidth="10" defaultRowHeight="15" x14ac:dyDescent="0.25"/>
  <cols>
    <col min="2" max="2" width="12.5703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2" bestFit="1" customWidth="1"/>
    <col min="9" max="9" width="11" bestFit="1" customWidth="1"/>
    <col min="10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14" x14ac:dyDescent="0.25">
      <c r="B3" s="4" t="s">
        <v>66</v>
      </c>
      <c r="C3" t="s">
        <v>64</v>
      </c>
      <c r="D3" t="s">
        <v>65</v>
      </c>
      <c r="E3" t="s">
        <v>63</v>
      </c>
      <c r="F3" s="2" t="s">
        <v>68</v>
      </c>
      <c r="G3" t="s">
        <v>67</v>
      </c>
    </row>
    <row r="4" spans="2:14" x14ac:dyDescent="0.25">
      <c r="B4" s="5" t="s">
        <v>6</v>
      </c>
      <c r="C4" s="6">
        <v>130385.3271484375</v>
      </c>
      <c r="D4" s="6">
        <v>140520</v>
      </c>
      <c r="E4" s="7">
        <v>0.18915755013743596</v>
      </c>
      <c r="F4" s="7">
        <v>7.2122636290652575E-2</v>
      </c>
      <c r="G4" s="7">
        <v>-1.7759214704159792E-2</v>
      </c>
    </row>
    <row r="5" spans="2:14" x14ac:dyDescent="0.25">
      <c r="B5" s="5" t="s">
        <v>8</v>
      </c>
      <c r="C5" s="6">
        <v>7343.0230968622418</v>
      </c>
      <c r="D5" s="6">
        <v>9180</v>
      </c>
      <c r="E5" s="7">
        <v>0.20010641646380806</v>
      </c>
      <c r="F5" s="7">
        <v>0.20010641646380808</v>
      </c>
      <c r="G5" s="7">
        <v>-0.20450689525717122</v>
      </c>
      <c r="H5" s="8"/>
    </row>
    <row r="6" spans="2:14" x14ac:dyDescent="0.25">
      <c r="B6" s="5" t="s">
        <v>10</v>
      </c>
      <c r="C6" s="6">
        <v>7620.8907214160481</v>
      </c>
      <c r="D6" s="6">
        <v>7200</v>
      </c>
      <c r="E6" s="7">
        <v>0.1787412141761732</v>
      </c>
      <c r="F6" s="7">
        <v>5.845704464111779E-2</v>
      </c>
      <c r="G6" s="7">
        <v>0.16231435099256411</v>
      </c>
    </row>
    <row r="7" spans="2:14" x14ac:dyDescent="0.25">
      <c r="B7" s="5" t="s">
        <v>12</v>
      </c>
      <c r="C7" s="6">
        <v>3255.3205954542946</v>
      </c>
      <c r="D7" s="6">
        <v>3900</v>
      </c>
      <c r="E7" s="7">
        <v>0.2036617551704577</v>
      </c>
      <c r="F7" s="7">
        <v>0.16530241142197574</v>
      </c>
      <c r="G7" s="7">
        <v>-0.23079829656953518</v>
      </c>
    </row>
    <row r="8" spans="2:14" x14ac:dyDescent="0.25">
      <c r="B8" s="5" t="s">
        <v>14</v>
      </c>
      <c r="C8" s="6">
        <v>3126.9468561319272</v>
      </c>
      <c r="D8" s="6">
        <v>3900</v>
      </c>
      <c r="E8" s="7">
        <v>0.34165407052251817</v>
      </c>
      <c r="F8" s="7">
        <v>0.19821875483796739</v>
      </c>
      <c r="G8" s="7">
        <v>6.4553270667751475E-2</v>
      </c>
    </row>
    <row r="9" spans="2:14" x14ac:dyDescent="0.25">
      <c r="B9" s="5" t="s">
        <v>16</v>
      </c>
      <c r="C9" s="6">
        <v>14288.541366577136</v>
      </c>
      <c r="D9" s="6">
        <v>15840</v>
      </c>
      <c r="E9" s="7">
        <v>0.23921229140927114</v>
      </c>
      <c r="F9" s="7">
        <v>9.7945620796898003E-2</v>
      </c>
      <c r="G9" s="7">
        <v>3.3875976606076989E-2</v>
      </c>
    </row>
    <row r="10" spans="2:14" x14ac:dyDescent="0.25">
      <c r="B10" s="5" t="s">
        <v>18</v>
      </c>
      <c r="C10" s="6">
        <v>6810.1748657226472</v>
      </c>
      <c r="D10" s="6">
        <v>6960</v>
      </c>
      <c r="E10" s="7">
        <v>0.14265225289881969</v>
      </c>
      <c r="F10" s="7">
        <v>2.1526599752493224E-2</v>
      </c>
      <c r="G10" s="7">
        <v>-2.1681874898397836E-2</v>
      </c>
    </row>
    <row r="11" spans="2:14" x14ac:dyDescent="0.25">
      <c r="B11" s="5" t="s">
        <v>20</v>
      </c>
      <c r="C11" s="6">
        <v>31156.056396484371</v>
      </c>
      <c r="D11" s="6">
        <v>24600</v>
      </c>
      <c r="E11" s="7">
        <v>0.38178189905678334</v>
      </c>
      <c r="F11" s="7">
        <v>0.26650635758066549</v>
      </c>
      <c r="G11" s="7">
        <v>0.15424031931939927</v>
      </c>
      <c r="H11" s="8"/>
    </row>
    <row r="12" spans="2:14" x14ac:dyDescent="0.25">
      <c r="B12" s="5" t="s">
        <v>21</v>
      </c>
      <c r="C12" s="6">
        <v>83941.647338390729</v>
      </c>
      <c r="D12" s="6">
        <v>82871</v>
      </c>
      <c r="E12" s="7">
        <v>0.19194020983712831</v>
      </c>
      <c r="F12" s="7">
        <v>1.2919445142338438E-2</v>
      </c>
      <c r="G12" s="7">
        <v>6.3905893005343689E-2</v>
      </c>
    </row>
    <row r="13" spans="2:14" x14ac:dyDescent="0.25">
      <c r="B13" s="5" t="s">
        <v>23</v>
      </c>
      <c r="C13" s="6">
        <v>13799.069517039619</v>
      </c>
      <c r="D13" s="6">
        <v>15120</v>
      </c>
      <c r="E13" s="7">
        <v>0.32511559651052913</v>
      </c>
      <c r="F13" s="7">
        <v>8.7363127179919356E-2</v>
      </c>
      <c r="G13" s="7">
        <v>4.2024852668302595E-2</v>
      </c>
    </row>
    <row r="14" spans="2:14" x14ac:dyDescent="0.25">
      <c r="B14" s="5" t="s">
        <v>25</v>
      </c>
      <c r="C14" s="6">
        <v>23955</v>
      </c>
      <c r="D14" s="6">
        <v>27720</v>
      </c>
      <c r="E14" s="7">
        <v>0.59253246753246758</v>
      </c>
      <c r="F14" s="7">
        <v>0.13582251082251082</v>
      </c>
      <c r="G14" s="7">
        <v>1.2132115239258099</v>
      </c>
      <c r="N14" s="8"/>
    </row>
    <row r="15" spans="2:14" x14ac:dyDescent="0.25">
      <c r="B15" s="5" t="s">
        <v>27</v>
      </c>
      <c r="C15" s="6">
        <v>32185.36083984375</v>
      </c>
      <c r="D15" s="6">
        <v>33900</v>
      </c>
      <c r="E15" s="7">
        <v>0.19539596872695428</v>
      </c>
      <c r="F15" s="7">
        <v>5.0579326258296461E-2</v>
      </c>
      <c r="G15" s="7">
        <v>3.6157296402882844E-2</v>
      </c>
    </row>
    <row r="16" spans="2:14" x14ac:dyDescent="0.25">
      <c r="B16" s="5" t="s">
        <v>28</v>
      </c>
      <c r="C16" s="6">
        <v>64601.066668526764</v>
      </c>
      <c r="D16" s="6">
        <v>60360</v>
      </c>
      <c r="E16" s="7">
        <v>0.52528675504075584</v>
      </c>
      <c r="F16" s="7">
        <v>7.0262867271815174E-2</v>
      </c>
      <c r="G16" s="7">
        <v>0.18843849032294255</v>
      </c>
    </row>
    <row r="17" spans="2:7" x14ac:dyDescent="0.25">
      <c r="B17" s="5" t="s">
        <v>29</v>
      </c>
      <c r="C17" s="6">
        <v>26304.742187499989</v>
      </c>
      <c r="D17" s="6">
        <v>30600</v>
      </c>
      <c r="E17" s="7">
        <v>0.44335363051470622</v>
      </c>
      <c r="F17" s="7">
        <v>0.1403679023692814</v>
      </c>
      <c r="G17" s="7">
        <v>0.29204145386705321</v>
      </c>
    </row>
    <row r="18" spans="2:7" x14ac:dyDescent="0.25">
      <c r="B18" s="5" t="s">
        <v>30</v>
      </c>
      <c r="C18" s="6">
        <v>24229.776127345769</v>
      </c>
      <c r="D18" s="6">
        <v>25080</v>
      </c>
      <c r="E18" s="7">
        <v>0.20987311114947407</v>
      </c>
      <c r="F18" s="7">
        <v>3.3900473391317021E-2</v>
      </c>
      <c r="G18" s="7">
        <v>0.20928397109655483</v>
      </c>
    </row>
    <row r="19" spans="2:7" x14ac:dyDescent="0.25">
      <c r="B19" s="5" t="s">
        <v>32</v>
      </c>
      <c r="C19" s="6">
        <v>33888.737571178754</v>
      </c>
      <c r="D19" s="6">
        <v>33600</v>
      </c>
      <c r="E19" s="7">
        <v>0.12927793562444109</v>
      </c>
      <c r="F19" s="7">
        <v>8.5933800946057601E-3</v>
      </c>
      <c r="G19" s="7">
        <v>1.0150829972600481E-2</v>
      </c>
    </row>
    <row r="20" spans="2:7" x14ac:dyDescent="0.25">
      <c r="B20" s="5" t="s">
        <v>33</v>
      </c>
      <c r="C20" s="6">
        <v>29432.423931623918</v>
      </c>
      <c r="D20" s="6">
        <v>28560</v>
      </c>
      <c r="E20" s="7">
        <v>0.50213124566065126</v>
      </c>
      <c r="F20" s="7">
        <v>3.05470564294089E-2</v>
      </c>
      <c r="G20" s="7">
        <v>0.44462128486031055</v>
      </c>
    </row>
    <row r="21" spans="2:7" x14ac:dyDescent="0.25">
      <c r="B21" s="5" t="s">
        <v>35</v>
      </c>
      <c r="C21" s="6">
        <v>14531.363155721549</v>
      </c>
      <c r="D21" s="6">
        <v>14280</v>
      </c>
      <c r="E21" s="7">
        <v>0.20980303002238154</v>
      </c>
      <c r="F21" s="7">
        <v>1.7602461885262502E-2</v>
      </c>
      <c r="G21" s="7">
        <v>2.142583925975218E-2</v>
      </c>
    </row>
    <row r="22" spans="2:7" x14ac:dyDescent="0.25">
      <c r="B22" s="5" t="s">
        <v>37</v>
      </c>
      <c r="C22" s="6">
        <v>14240.584600225311</v>
      </c>
      <c r="D22" s="6">
        <v>16080</v>
      </c>
      <c r="E22" s="7">
        <v>0.16583223503011377</v>
      </c>
      <c r="F22" s="7">
        <v>0.1143915049611125</v>
      </c>
      <c r="G22" s="7">
        <v>-6.3980260681066894E-2</v>
      </c>
    </row>
    <row r="23" spans="2:7" x14ac:dyDescent="0.25">
      <c r="B23" s="5" t="s">
        <v>38</v>
      </c>
      <c r="C23" s="6">
        <v>92054.890269520576</v>
      </c>
      <c r="D23" s="6">
        <v>90000</v>
      </c>
      <c r="E23" s="7">
        <v>0.21847161825964434</v>
      </c>
      <c r="F23" s="7">
        <v>2.2832114105784181E-2</v>
      </c>
      <c r="G23" s="7">
        <v>0.12830051660088668</v>
      </c>
    </row>
    <row r="24" spans="2:7" x14ac:dyDescent="0.25">
      <c r="B24" s="5" t="s">
        <v>40</v>
      </c>
      <c r="C24" s="6">
        <v>32699.097971436979</v>
      </c>
      <c r="D24" s="6">
        <v>30600</v>
      </c>
      <c r="E24" s="7">
        <v>0.20157555062195881</v>
      </c>
      <c r="F24" s="7">
        <v>6.8597972922777084E-2</v>
      </c>
      <c r="G24" s="7">
        <v>0.10145026851128296</v>
      </c>
    </row>
    <row r="25" spans="2:7" x14ac:dyDescent="0.25">
      <c r="B25" s="5" t="s">
        <v>41</v>
      </c>
      <c r="C25" s="6">
        <v>107008.0894604128</v>
      </c>
      <c r="D25" s="6">
        <v>101400</v>
      </c>
      <c r="E25" s="7">
        <v>0.11005348958181851</v>
      </c>
      <c r="F25" s="7">
        <v>5.530660217369622E-2</v>
      </c>
      <c r="G25" s="7">
        <v>7.7753761553092701E-2</v>
      </c>
    </row>
    <row r="26" spans="2:7" x14ac:dyDescent="0.25">
      <c r="B26" s="5" t="s">
        <v>43</v>
      </c>
      <c r="C26" s="6">
        <v>20922.03054300752</v>
      </c>
      <c r="D26" s="6">
        <v>20850</v>
      </c>
      <c r="E26" s="7">
        <v>0.1155108285846657</v>
      </c>
      <c r="F26" s="7">
        <v>3.4547023025189669E-3</v>
      </c>
      <c r="G26" s="7">
        <v>4.2723561771832182E-2</v>
      </c>
    </row>
    <row r="27" spans="2:7" x14ac:dyDescent="0.25">
      <c r="B27" s="5" t="s">
        <v>45</v>
      </c>
      <c r="C27" s="6">
        <v>85196.798828125</v>
      </c>
      <c r="D27" s="6">
        <v>70200</v>
      </c>
      <c r="E27" s="7">
        <v>0.32475001669337605</v>
      </c>
      <c r="F27" s="7">
        <v>0.21362961293625357</v>
      </c>
      <c r="G27" s="7">
        <v>0.79908456702993702</v>
      </c>
    </row>
    <row r="28" spans="2:7" x14ac:dyDescent="0.25">
      <c r="B28" s="5" t="s">
        <v>47</v>
      </c>
      <c r="C28" s="6">
        <v>6300</v>
      </c>
      <c r="D28" s="6">
        <v>14760</v>
      </c>
      <c r="E28" s="7">
        <v>0.9065040650406504</v>
      </c>
      <c r="F28" s="7">
        <v>0.57317073170731703</v>
      </c>
      <c r="G28" s="7">
        <v>0.44570542635658911</v>
      </c>
    </row>
    <row r="29" spans="2:7" x14ac:dyDescent="0.25">
      <c r="B29" s="5" t="s">
        <v>49</v>
      </c>
      <c r="C29" s="6">
        <v>9884.1384039002533</v>
      </c>
      <c r="D29" s="6">
        <v>7380</v>
      </c>
      <c r="E29" s="7">
        <v>0.53992959850354638</v>
      </c>
      <c r="F29" s="7">
        <v>0.33931414686995304</v>
      </c>
      <c r="G29" s="7">
        <v>0.56949875879499234</v>
      </c>
    </row>
    <row r="30" spans="2:7" x14ac:dyDescent="0.25">
      <c r="B30" s="5" t="s">
        <v>62</v>
      </c>
      <c r="C30" s="6">
        <v>919161.09846088546</v>
      </c>
      <c r="D30" s="6">
        <v>915461</v>
      </c>
      <c r="E30" s="7">
        <v>0.26688211435508707</v>
      </c>
      <c r="F30" s="7">
        <v>4.0417871005815247E-3</v>
      </c>
      <c r="G30" s="7">
        <v>0.17345722856142945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54"/>
  <sheetViews>
    <sheetView zoomScale="115" zoomScaleNormal="115" workbookViewId="0">
      <selection activeCell="H3" sqref="H3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61</v>
      </c>
    </row>
    <row r="3" spans="1:15" x14ac:dyDescent="0.25">
      <c r="A3" s="2">
        <v>1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 results'!$A:$A,'raw data results'!F:F)</f>
        <v>17732.3828125</v>
      </c>
      <c r="I3">
        <f>_xlfn.XLOOKUP($B3,'raw data results'!$A:$A,'raw data results'!G:G)</f>
        <v>17583.427734375</v>
      </c>
      <c r="J3">
        <f>_xlfn.XLOOKUP($B3,'raw data results'!$A:$A,'raw data results'!H:H)</f>
        <v>11592.337890625</v>
      </c>
      <c r="K3">
        <f>_xlfn.XLOOKUP($B3,'raw data results'!$A:$A,'raw data results'!I:I)</f>
        <v>24708.08984375</v>
      </c>
      <c r="L3">
        <f>_xlfn.XLOOKUP($B3,'raw data results'!$A:$A,'raw data results'!J:J)</f>
        <v>27090.490234375</v>
      </c>
      <c r="M3">
        <f>_xlfn.XLOOKUP($B3,'raw data results'!$A:$A,'raw data results'!K:K)</f>
        <v>19709.576171875</v>
      </c>
      <c r="N3">
        <f>_xlfn.XLOOKUP($B3,'raw data results'!$A:$A,'raw data results'!L:L)</f>
        <v>11969.0224609375</v>
      </c>
      <c r="O3">
        <f>SUM(H3:N3)</f>
        <v>130385.3271484375</v>
      </c>
    </row>
    <row r="4" spans="1:15" x14ac:dyDescent="0.25">
      <c r="B4" t="s">
        <v>6</v>
      </c>
      <c r="G4" t="s">
        <v>60</v>
      </c>
      <c r="H4">
        <v>10800</v>
      </c>
      <c r="I4">
        <v>18000</v>
      </c>
      <c r="J4">
        <v>12000</v>
      </c>
      <c r="K4">
        <v>28320</v>
      </c>
      <c r="L4">
        <v>25800</v>
      </c>
      <c r="M4">
        <v>25800</v>
      </c>
      <c r="N4">
        <v>19800</v>
      </c>
      <c r="O4">
        <f t="shared" ref="O4:O46" si="0">SUM(H4:N4)</f>
        <v>140520</v>
      </c>
    </row>
    <row r="5" spans="1:15" x14ac:dyDescent="0.25">
      <c r="A5" s="2">
        <v>2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 results'!$A:$A,'raw data results'!F:F)</f>
        <v>5696.66162109375</v>
      </c>
      <c r="I5">
        <f>_xlfn.XLOOKUP($B5,'raw data results'!$A:$A,'raw data results'!G:G)</f>
        <v>5773.73974609375</v>
      </c>
      <c r="J5">
        <f>_xlfn.XLOOKUP($B5,'raw data results'!$A:$A,'raw data results'!H:H)</f>
        <v>4454.2109375</v>
      </c>
      <c r="K5">
        <f>_xlfn.XLOOKUP($B5,'raw data results'!$A:$A,'raw data results'!I:I)</f>
        <v>4727.28125</v>
      </c>
      <c r="L5">
        <f>_xlfn.XLOOKUP($B5,'raw data results'!$A:$A,'raw data results'!J:J)</f>
        <v>3828.8251953125</v>
      </c>
      <c r="M5">
        <f>_xlfn.XLOOKUP($B5,'raw data results'!$A:$A,'raw data results'!K:K)</f>
        <v>3392.5810546875</v>
      </c>
      <c r="N5">
        <f>_xlfn.XLOOKUP($B5,'raw data results'!$A:$A,'raw data results'!L:L)</f>
        <v>4312.06103515625</v>
      </c>
      <c r="O5">
        <f t="shared" si="0"/>
        <v>32185.36083984375</v>
      </c>
    </row>
    <row r="6" spans="1:15" x14ac:dyDescent="0.25">
      <c r="B6" t="s">
        <v>27</v>
      </c>
      <c r="G6" t="s">
        <v>60</v>
      </c>
      <c r="H6">
        <v>6000</v>
      </c>
      <c r="I6">
        <v>7050</v>
      </c>
      <c r="J6">
        <v>6000</v>
      </c>
      <c r="K6">
        <v>5550</v>
      </c>
      <c r="L6">
        <v>4050</v>
      </c>
      <c r="M6">
        <v>2250</v>
      </c>
      <c r="N6">
        <v>3000</v>
      </c>
      <c r="O6">
        <f t="shared" si="0"/>
        <v>33900</v>
      </c>
    </row>
    <row r="7" spans="1:15" x14ac:dyDescent="0.25">
      <c r="A7" s="2">
        <v>3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 results'!$A:$A,'raw data results'!F:F)</f>
        <v>13368.327049369</v>
      </c>
      <c r="I7">
        <f>_xlfn.XLOOKUP($B7,'raw data results'!$A:$A,'raw data results'!G:G)</f>
        <v>14947.5282774022</v>
      </c>
      <c r="J7">
        <f>_xlfn.XLOOKUP($B7,'raw data results'!$A:$A,'raw data results'!H:H)</f>
        <v>12300.1030117262</v>
      </c>
      <c r="K7">
        <f>_xlfn.XLOOKUP($B7,'raw data results'!$A:$A,'raw data results'!I:I)</f>
        <v>15806.682219726899</v>
      </c>
      <c r="L7">
        <f>_xlfn.XLOOKUP($B7,'raw data results'!$A:$A,'raw data results'!J:J)</f>
        <v>14442.0118159472</v>
      </c>
      <c r="M7">
        <f>_xlfn.XLOOKUP($B7,'raw data results'!$A:$A,'raw data results'!K:K)</f>
        <v>9306.1654872028903</v>
      </c>
      <c r="N7">
        <f>_xlfn.XLOOKUP($B7,'raw data results'!$A:$A,'raw data results'!L:L)</f>
        <v>11884.072408146199</v>
      </c>
      <c r="O7">
        <f t="shared" si="0"/>
        <v>92054.890269520576</v>
      </c>
    </row>
    <row r="8" spans="1:15" x14ac:dyDescent="0.25">
      <c r="B8" t="s">
        <v>38</v>
      </c>
      <c r="G8" t="s">
        <v>60</v>
      </c>
      <c r="H8">
        <v>12000</v>
      </c>
      <c r="I8">
        <v>18000</v>
      </c>
      <c r="J8">
        <v>9000</v>
      </c>
      <c r="K8">
        <v>21000</v>
      </c>
      <c r="L8">
        <v>15000</v>
      </c>
      <c r="M8">
        <v>6000</v>
      </c>
      <c r="N8">
        <v>9000</v>
      </c>
      <c r="O8">
        <f t="shared" si="0"/>
        <v>90000</v>
      </c>
    </row>
    <row r="9" spans="1:15" x14ac:dyDescent="0.25">
      <c r="A9" s="2">
        <v>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 results'!$A:$A,'raw data results'!F:F)</f>
        <v>4244.4324936697003</v>
      </c>
      <c r="I9">
        <f>_xlfn.XLOOKUP($B9,'raw data results'!$A:$A,'raw data results'!G:G)</f>
        <v>3350.2195904531</v>
      </c>
      <c r="J9">
        <f>_xlfn.XLOOKUP($B9,'raw data results'!$A:$A,'raw data results'!H:H)</f>
        <v>5259.2929499725897</v>
      </c>
      <c r="K9">
        <f>_xlfn.XLOOKUP($B9,'raw data results'!$A:$A,'raw data results'!I:I)</f>
        <v>4665.2234707494199</v>
      </c>
      <c r="L9">
        <f>_xlfn.XLOOKUP($B9,'raw data results'!$A:$A,'raw data results'!J:J)</f>
        <v>5283.1007551033299</v>
      </c>
      <c r="M9">
        <f>_xlfn.XLOOKUP($B9,'raw data results'!$A:$A,'raw data results'!K:K)</f>
        <v>4704.5080350648896</v>
      </c>
      <c r="N9">
        <f>_xlfn.XLOOKUP($B9,'raw data results'!$A:$A,'raw data results'!L:L)</f>
        <v>5192.3206764239503</v>
      </c>
      <c r="O9">
        <f t="shared" si="0"/>
        <v>32699.097971436979</v>
      </c>
    </row>
    <row r="10" spans="1:15" x14ac:dyDescent="0.25">
      <c r="B10" t="s">
        <v>40</v>
      </c>
      <c r="G10" t="s">
        <v>60</v>
      </c>
      <c r="H10">
        <v>3750</v>
      </c>
      <c r="I10">
        <v>4800</v>
      </c>
      <c r="J10">
        <v>4800</v>
      </c>
      <c r="K10">
        <v>5250</v>
      </c>
      <c r="L10">
        <v>4500</v>
      </c>
      <c r="M10">
        <v>3000</v>
      </c>
      <c r="N10">
        <v>4500</v>
      </c>
      <c r="O10">
        <f t="shared" si="0"/>
        <v>30600</v>
      </c>
    </row>
    <row r="11" spans="1:15" x14ac:dyDescent="0.25">
      <c r="A11" s="2">
        <v>5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 results'!$A:$A,'raw data results'!F:F)</f>
        <v>15112.2866514326</v>
      </c>
      <c r="I11">
        <f>_xlfn.XLOOKUP($B11,'raw data results'!$A:$A,'raw data results'!G:G)</f>
        <v>15591.8512457134</v>
      </c>
      <c r="J11">
        <f>_xlfn.XLOOKUP($B11,'raw data results'!$A:$A,'raw data results'!H:H)</f>
        <v>10336.4704089186</v>
      </c>
      <c r="K11">
        <f>_xlfn.XLOOKUP($B11,'raw data results'!$A:$A,'raw data results'!I:I)</f>
        <v>14876.762867151399</v>
      </c>
      <c r="L11">
        <f>_xlfn.XLOOKUP($B11,'raw data results'!$A:$A,'raw data results'!J:J)</f>
        <v>14314.5984064687</v>
      </c>
      <c r="M11">
        <f>_xlfn.XLOOKUP($B11,'raw data results'!$A:$A,'raw data results'!K:K)</f>
        <v>20632.4815626948</v>
      </c>
      <c r="N11">
        <f>_xlfn.XLOOKUP($B11,'raw data results'!$A:$A,'raw data results'!L:L)</f>
        <v>16143.6383180333</v>
      </c>
      <c r="O11">
        <f t="shared" si="0"/>
        <v>107008.0894604128</v>
      </c>
    </row>
    <row r="12" spans="1:15" x14ac:dyDescent="0.25">
      <c r="B12" t="s">
        <v>41</v>
      </c>
      <c r="G12" t="s">
        <v>60</v>
      </c>
      <c r="H12">
        <v>12000</v>
      </c>
      <c r="I12">
        <v>18000</v>
      </c>
      <c r="J12">
        <v>9000</v>
      </c>
      <c r="K12">
        <v>13200</v>
      </c>
      <c r="L12">
        <v>13200</v>
      </c>
      <c r="M12">
        <v>21000</v>
      </c>
      <c r="N12">
        <v>15000</v>
      </c>
      <c r="O12">
        <f t="shared" si="0"/>
        <v>101400</v>
      </c>
    </row>
    <row r="13" spans="1:15" x14ac:dyDescent="0.25">
      <c r="A13" s="2">
        <v>6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 results'!$A:$A,'raw data results'!F:F)</f>
        <v>3859.7026418333098</v>
      </c>
      <c r="I13">
        <f>_xlfn.XLOOKUP($B13,'raw data results'!$A:$A,'raw data results'!G:G)</f>
        <v>3025.5937917443698</v>
      </c>
      <c r="J13">
        <f>_xlfn.XLOOKUP($B13,'raw data results'!$A:$A,'raw data results'!H:H)</f>
        <v>2359.9543787941502</v>
      </c>
      <c r="K13">
        <f>_xlfn.XLOOKUP($B13,'raw data results'!$A:$A,'raw data results'!I:I)</f>
        <v>3726.8789716073202</v>
      </c>
      <c r="L13">
        <f>_xlfn.XLOOKUP($B13,'raw data results'!$A:$A,'raw data results'!J:J)</f>
        <v>2723.5092371287401</v>
      </c>
      <c r="M13">
        <f>_xlfn.XLOOKUP($B13,'raw data results'!$A:$A,'raw data results'!K:K)</f>
        <v>1955.8328830281901</v>
      </c>
      <c r="N13">
        <f>_xlfn.XLOOKUP($B13,'raw data results'!$A:$A,'raw data results'!L:L)</f>
        <v>3270.5586388714401</v>
      </c>
      <c r="O13">
        <f t="shared" si="0"/>
        <v>20922.03054300752</v>
      </c>
    </row>
    <row r="14" spans="1:15" x14ac:dyDescent="0.25">
      <c r="B14" t="s">
        <v>43</v>
      </c>
      <c r="G14" t="s">
        <v>60</v>
      </c>
      <c r="H14">
        <v>3750</v>
      </c>
      <c r="I14">
        <v>3300</v>
      </c>
      <c r="J14">
        <v>1500</v>
      </c>
      <c r="K14">
        <v>3900</v>
      </c>
      <c r="L14">
        <v>3150</v>
      </c>
      <c r="M14">
        <v>2250</v>
      </c>
      <c r="N14">
        <v>3000</v>
      </c>
      <c r="O14">
        <f t="shared" si="0"/>
        <v>20850</v>
      </c>
    </row>
    <row r="15" spans="1:15" x14ac:dyDescent="0.25">
      <c r="A15" s="2">
        <v>7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 results'!$A:$A,'raw data results'!F:F)</f>
        <v>12768.94921875</v>
      </c>
      <c r="I15">
        <f>_xlfn.XLOOKUP($B15,'raw data results'!$A:$A,'raw data results'!G:G)</f>
        <v>13684.830078125</v>
      </c>
      <c r="J15">
        <f>_xlfn.XLOOKUP($B15,'raw data results'!$A:$A,'raw data results'!H:H)</f>
        <v>13624.8984375</v>
      </c>
      <c r="K15">
        <f>_xlfn.XLOOKUP($B15,'raw data results'!$A:$A,'raw data results'!I:I)</f>
        <v>11851.2275390625</v>
      </c>
      <c r="L15">
        <f>_xlfn.XLOOKUP($B15,'raw data results'!$A:$A,'raw data results'!J:J)</f>
        <v>13746.0263671875</v>
      </c>
      <c r="M15">
        <f>_xlfn.XLOOKUP($B15,'raw data results'!$A:$A,'raw data results'!K:K)</f>
        <v>9526.2001953125</v>
      </c>
      <c r="N15">
        <f>_xlfn.XLOOKUP($B15,'raw data results'!$A:$A,'raw data results'!L:L)</f>
        <v>9994.6669921875</v>
      </c>
      <c r="O15">
        <f t="shared" si="0"/>
        <v>85196.798828125</v>
      </c>
    </row>
    <row r="16" spans="1:15" x14ac:dyDescent="0.25">
      <c r="B16" t="s">
        <v>45</v>
      </c>
      <c r="G16" t="s">
        <v>60</v>
      </c>
      <c r="H16">
        <v>15000</v>
      </c>
      <c r="I16">
        <v>15000</v>
      </c>
      <c r="J16">
        <v>3000</v>
      </c>
      <c r="K16">
        <v>12000</v>
      </c>
      <c r="L16">
        <v>12000</v>
      </c>
      <c r="M16">
        <v>3000</v>
      </c>
      <c r="N16">
        <v>10200</v>
      </c>
      <c r="O16">
        <f t="shared" si="0"/>
        <v>70200</v>
      </c>
    </row>
    <row r="17" spans="1:15" x14ac:dyDescent="0.25">
      <c r="A17" s="2">
        <v>8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 results'!$A:$A,'raw data results'!F:F)</f>
        <v>1180</v>
      </c>
      <c r="I17">
        <f>_xlfn.XLOOKUP($B17,'raw data results'!$A:$A,'raw data results'!G:G)</f>
        <v>1600</v>
      </c>
      <c r="J17">
        <f>_xlfn.XLOOKUP($B17,'raw data results'!$A:$A,'raw data results'!H:H)</f>
        <v>200</v>
      </c>
      <c r="K17">
        <f>_xlfn.XLOOKUP($B17,'raw data results'!$A:$A,'raw data results'!I:I)</f>
        <v>380</v>
      </c>
      <c r="L17">
        <f>_xlfn.XLOOKUP($B17,'raw data results'!$A:$A,'raw data results'!J:J)</f>
        <v>540</v>
      </c>
      <c r="M17">
        <f>_xlfn.XLOOKUP($B17,'raw data results'!$A:$A,'raw data results'!K:K)</f>
        <v>1420</v>
      </c>
      <c r="N17">
        <f>_xlfn.XLOOKUP($B17,'raw data results'!$A:$A,'raw data results'!L:L)</f>
        <v>980</v>
      </c>
      <c r="O17">
        <f t="shared" si="0"/>
        <v>6300</v>
      </c>
    </row>
    <row r="18" spans="1:15" x14ac:dyDescent="0.25">
      <c r="B18" t="s">
        <v>47</v>
      </c>
      <c r="G18" t="s">
        <v>60</v>
      </c>
      <c r="H18">
        <v>300</v>
      </c>
      <c r="I18">
        <v>600</v>
      </c>
      <c r="J18">
        <v>0</v>
      </c>
      <c r="K18">
        <v>0</v>
      </c>
      <c r="L18">
        <v>4500</v>
      </c>
      <c r="M18">
        <v>5160</v>
      </c>
      <c r="N18">
        <v>4200</v>
      </c>
      <c r="O18">
        <f t="shared" si="0"/>
        <v>14760</v>
      </c>
    </row>
    <row r="19" spans="1:15" x14ac:dyDescent="0.25">
      <c r="A19" s="2">
        <v>9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 results'!$A:$A,'raw data results'!F:F)</f>
        <v>2288.59599598356</v>
      </c>
      <c r="I19">
        <f>_xlfn.XLOOKUP($B19,'raw data results'!$A:$A,'raw data results'!G:G)</f>
        <v>1152.34382239141</v>
      </c>
      <c r="J19">
        <f>_xlfn.XLOOKUP($B19,'raw data results'!$A:$A,'raw data results'!H:H)</f>
        <v>607.19642598683299</v>
      </c>
      <c r="K19">
        <f>_xlfn.XLOOKUP($B19,'raw data results'!$A:$A,'raw data results'!I:I)</f>
        <v>1050.6145643191801</v>
      </c>
      <c r="L19">
        <f>_xlfn.XLOOKUP($B19,'raw data results'!$A:$A,'raw data results'!J:J)</f>
        <v>1596.31690026196</v>
      </c>
      <c r="M19">
        <f>_xlfn.XLOOKUP($B19,'raw data results'!$A:$A,'raw data results'!K:K)</f>
        <v>2696.7705967614502</v>
      </c>
      <c r="N19">
        <f>_xlfn.XLOOKUP($B19,'raw data results'!$A:$A,'raw data results'!L:L)</f>
        <v>492.30009819586002</v>
      </c>
      <c r="O19">
        <f t="shared" si="0"/>
        <v>9884.1384039002533</v>
      </c>
    </row>
    <row r="20" spans="1:15" x14ac:dyDescent="0.25">
      <c r="B20" t="s">
        <v>49</v>
      </c>
      <c r="G20" t="s">
        <v>60</v>
      </c>
      <c r="H20">
        <v>0</v>
      </c>
      <c r="I20">
        <v>1680</v>
      </c>
      <c r="J20">
        <v>420</v>
      </c>
      <c r="K20">
        <v>1200</v>
      </c>
      <c r="L20">
        <v>1200</v>
      </c>
      <c r="M20">
        <v>2760</v>
      </c>
      <c r="N20">
        <v>120</v>
      </c>
      <c r="O20">
        <f t="shared" si="0"/>
        <v>7380</v>
      </c>
    </row>
    <row r="21" spans="1:15" x14ac:dyDescent="0.25">
      <c r="A21" s="2">
        <v>10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 results'!$A:$A,'raw data results'!F:F)</f>
        <v>1211.13505526838</v>
      </c>
      <c r="I21">
        <f>_xlfn.XLOOKUP($B21,'raw data results'!$A:$A,'raw data results'!G:G)</f>
        <v>655.16622796664706</v>
      </c>
      <c r="J21">
        <f>_xlfn.XLOOKUP($B21,'raw data results'!$A:$A,'raw data results'!H:H)</f>
        <v>1005.0083996956999</v>
      </c>
      <c r="K21">
        <f>_xlfn.XLOOKUP($B21,'raw data results'!$A:$A,'raw data results'!I:I)</f>
        <v>1129.1175218393</v>
      </c>
      <c r="L21">
        <f>_xlfn.XLOOKUP($B21,'raw data results'!$A:$A,'raw data results'!J:J)</f>
        <v>1613.38043911505</v>
      </c>
      <c r="M21">
        <f>_xlfn.XLOOKUP($B21,'raw data results'!$A:$A,'raw data results'!K:K)</f>
        <v>503.003376080355</v>
      </c>
      <c r="N21">
        <f>_xlfn.XLOOKUP($B21,'raw data results'!$A:$A,'raw data results'!L:L)</f>
        <v>1226.21207689681</v>
      </c>
      <c r="O21">
        <f t="shared" si="0"/>
        <v>7343.0230968622418</v>
      </c>
    </row>
    <row r="22" spans="1:15" x14ac:dyDescent="0.25">
      <c r="B22" t="s">
        <v>8</v>
      </c>
      <c r="G22" t="s">
        <v>60</v>
      </c>
      <c r="H22">
        <v>1500</v>
      </c>
      <c r="I22">
        <v>1080</v>
      </c>
      <c r="J22">
        <v>1200</v>
      </c>
      <c r="K22">
        <v>1500</v>
      </c>
      <c r="L22">
        <v>1620</v>
      </c>
      <c r="M22">
        <v>600</v>
      </c>
      <c r="N22">
        <v>1680</v>
      </c>
      <c r="O22">
        <f t="shared" si="0"/>
        <v>9180</v>
      </c>
    </row>
    <row r="23" spans="1:15" x14ac:dyDescent="0.25">
      <c r="A23" s="2">
        <v>11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 results'!$A:$A,'raw data results'!F:F)</f>
        <v>796.84389383258997</v>
      </c>
      <c r="I23">
        <f>_xlfn.XLOOKUP($B23,'raw data results'!$A:$A,'raw data results'!G:G)</f>
        <v>1591.00217252161</v>
      </c>
      <c r="J23">
        <f>_xlfn.XLOOKUP($B23,'raw data results'!$A:$A,'raw data results'!H:H)</f>
        <v>564.01264032728704</v>
      </c>
      <c r="K23">
        <f>_xlfn.XLOOKUP($B23,'raw data results'!$A:$A,'raw data results'!I:I)</f>
        <v>1151.1265679718199</v>
      </c>
      <c r="L23">
        <f>_xlfn.XLOOKUP($B23,'raw data results'!$A:$A,'raw data results'!J:J)</f>
        <v>1537.4986178484701</v>
      </c>
      <c r="M23">
        <f>_xlfn.XLOOKUP($B23,'raw data results'!$A:$A,'raw data results'!K:K)</f>
        <v>884.43201176208004</v>
      </c>
      <c r="N23">
        <f>_xlfn.XLOOKUP($B23,'raw data results'!$A:$A,'raw data results'!L:L)</f>
        <v>1095.9748171521901</v>
      </c>
      <c r="O23">
        <f t="shared" si="0"/>
        <v>7620.8907214160481</v>
      </c>
    </row>
    <row r="24" spans="1:15" x14ac:dyDescent="0.25">
      <c r="B24" t="s">
        <v>10</v>
      </c>
      <c r="G24" t="s">
        <v>60</v>
      </c>
      <c r="H24">
        <v>660</v>
      </c>
      <c r="I24">
        <v>1680</v>
      </c>
      <c r="J24">
        <v>360</v>
      </c>
      <c r="K24">
        <v>1080</v>
      </c>
      <c r="L24">
        <v>1380</v>
      </c>
      <c r="M24">
        <v>600</v>
      </c>
      <c r="N24">
        <v>1440</v>
      </c>
      <c r="O24">
        <f t="shared" si="0"/>
        <v>7200</v>
      </c>
    </row>
    <row r="25" spans="1:15" x14ac:dyDescent="0.25">
      <c r="A25" s="2">
        <v>12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 results'!$A:$A,'raw data results'!F:F)</f>
        <v>59.121967721668902</v>
      </c>
      <c r="I25">
        <f>_xlfn.XLOOKUP($B25,'raw data results'!$A:$A,'raw data results'!G:G)</f>
        <v>379.01234311393102</v>
      </c>
      <c r="J25">
        <f>_xlfn.XLOOKUP($B25,'raw data results'!$A:$A,'raw data results'!H:H)</f>
        <v>0</v>
      </c>
      <c r="K25">
        <f>_xlfn.XLOOKUP($B25,'raw data results'!$A:$A,'raw data results'!I:I)</f>
        <v>674.80072030954</v>
      </c>
      <c r="L25">
        <f>_xlfn.XLOOKUP($B25,'raw data results'!$A:$A,'raw data results'!J:J)</f>
        <v>342.34066128731303</v>
      </c>
      <c r="M25">
        <f>_xlfn.XLOOKUP($B25,'raw data results'!$A:$A,'raw data results'!K:K)</f>
        <v>1137.3093588803699</v>
      </c>
      <c r="N25">
        <f>_xlfn.XLOOKUP($B25,'raw data results'!$A:$A,'raw data results'!L:L)</f>
        <v>662.73554414147202</v>
      </c>
      <c r="O25">
        <f t="shared" si="0"/>
        <v>3255.3205954542946</v>
      </c>
    </row>
    <row r="26" spans="1:15" x14ac:dyDescent="0.25">
      <c r="B26" t="s">
        <v>12</v>
      </c>
      <c r="G26" t="s">
        <v>60</v>
      </c>
      <c r="H26">
        <v>240</v>
      </c>
      <c r="I26">
        <v>420</v>
      </c>
      <c r="J26">
        <v>0</v>
      </c>
      <c r="K26">
        <v>600</v>
      </c>
      <c r="L26">
        <v>660</v>
      </c>
      <c r="M26">
        <v>1260</v>
      </c>
      <c r="N26">
        <v>720</v>
      </c>
      <c r="O26">
        <f t="shared" si="0"/>
        <v>3900</v>
      </c>
    </row>
    <row r="27" spans="1:15" x14ac:dyDescent="0.25">
      <c r="A27" s="2">
        <v>13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 results'!$A:$A,'raw data results'!F:F)</f>
        <v>299.79487092956401</v>
      </c>
      <c r="I27">
        <f>_xlfn.XLOOKUP($B27,'raw data results'!$A:$A,'raw data results'!G:G)</f>
        <v>455.64083220376398</v>
      </c>
      <c r="J27">
        <f>_xlfn.XLOOKUP($B27,'raw data results'!$A:$A,'raw data results'!H:H)</f>
        <v>335.97791189850301</v>
      </c>
      <c r="K27">
        <f>_xlfn.XLOOKUP($B27,'raw data results'!$A:$A,'raw data results'!I:I)</f>
        <v>422.56818141431501</v>
      </c>
      <c r="L27">
        <f>_xlfn.XLOOKUP($B27,'raw data results'!$A:$A,'raw data results'!J:J)</f>
        <v>509.819258978204</v>
      </c>
      <c r="M27">
        <f>_xlfn.XLOOKUP($B27,'raw data results'!$A:$A,'raw data results'!K:K)</f>
        <v>543.92608275680698</v>
      </c>
      <c r="N27">
        <f>_xlfn.XLOOKUP($B27,'raw data results'!$A:$A,'raw data results'!L:L)</f>
        <v>559.21971795077002</v>
      </c>
      <c r="O27">
        <f t="shared" si="0"/>
        <v>3126.9468561319272</v>
      </c>
    </row>
    <row r="28" spans="1:15" x14ac:dyDescent="0.25">
      <c r="B28" t="s">
        <v>14</v>
      </c>
      <c r="G28" t="s">
        <v>60</v>
      </c>
      <c r="H28">
        <v>120</v>
      </c>
      <c r="I28">
        <v>540</v>
      </c>
      <c r="J28">
        <v>300</v>
      </c>
      <c r="K28">
        <v>600</v>
      </c>
      <c r="L28">
        <v>960</v>
      </c>
      <c r="M28">
        <v>480</v>
      </c>
      <c r="N28">
        <v>900</v>
      </c>
      <c r="O28">
        <f t="shared" si="0"/>
        <v>3900</v>
      </c>
    </row>
    <row r="29" spans="1:15" x14ac:dyDescent="0.25">
      <c r="A29" s="2">
        <v>14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 results'!$A:$A,'raw data results'!F:F)</f>
        <v>1265.97509765625</v>
      </c>
      <c r="I29">
        <f>_xlfn.XLOOKUP($B29,'raw data results'!$A:$A,'raw data results'!G:G)</f>
        <v>214.92283630371</v>
      </c>
      <c r="J29">
        <f>_xlfn.XLOOKUP($B29,'raw data results'!$A:$A,'raw data results'!H:H)</f>
        <v>1984.00134277343</v>
      </c>
      <c r="K29">
        <f>_xlfn.XLOOKUP($B29,'raw data results'!$A:$A,'raw data results'!I:I)</f>
        <v>2153.0087890625</v>
      </c>
      <c r="L29">
        <f>_xlfn.XLOOKUP($B29,'raw data results'!$A:$A,'raw data results'!J:J)</f>
        <v>5744.81005859375</v>
      </c>
      <c r="M29">
        <f>_xlfn.XLOOKUP($B29,'raw data results'!$A:$A,'raw data results'!K:K)</f>
        <v>754.112548828125</v>
      </c>
      <c r="N29">
        <f>_xlfn.XLOOKUP($B29,'raw data results'!$A:$A,'raw data results'!L:L)</f>
        <v>2171.71069335937</v>
      </c>
      <c r="O29">
        <f t="shared" si="0"/>
        <v>14288.541366577136</v>
      </c>
    </row>
    <row r="30" spans="1:15" x14ac:dyDescent="0.25">
      <c r="B30" t="s">
        <v>16</v>
      </c>
      <c r="G30" t="s">
        <v>60</v>
      </c>
      <c r="H30">
        <v>1800</v>
      </c>
      <c r="I30">
        <v>1200</v>
      </c>
      <c r="J30">
        <v>2040</v>
      </c>
      <c r="K30">
        <v>2040</v>
      </c>
      <c r="L30">
        <v>6840</v>
      </c>
      <c r="M30">
        <v>360</v>
      </c>
      <c r="N30">
        <v>1560</v>
      </c>
      <c r="O30">
        <f t="shared" si="0"/>
        <v>15840</v>
      </c>
    </row>
    <row r="31" spans="1:15" x14ac:dyDescent="0.25">
      <c r="A31" s="2">
        <v>15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 results'!$A:$A,'raw data results'!F:F)</f>
        <v>513.68316650390602</v>
      </c>
      <c r="I31">
        <f>_xlfn.XLOOKUP($B31,'raw data results'!$A:$A,'raw data results'!G:G)</f>
        <v>533.84167480468705</v>
      </c>
      <c r="J31">
        <f>_xlfn.XLOOKUP($B31,'raw data results'!$A:$A,'raw data results'!H:H)</f>
        <v>938.74566650390602</v>
      </c>
      <c r="K31">
        <f>_xlfn.XLOOKUP($B31,'raw data results'!$A:$A,'raw data results'!I:I)</f>
        <v>1733.73266601562</v>
      </c>
      <c r="L31">
        <f>_xlfn.XLOOKUP($B31,'raw data results'!$A:$A,'raw data results'!J:J)</f>
        <v>786.09271240234295</v>
      </c>
      <c r="M31">
        <f>_xlfn.XLOOKUP($B31,'raw data results'!$A:$A,'raw data results'!K:K)</f>
        <v>1522.77160644531</v>
      </c>
      <c r="N31">
        <f>_xlfn.XLOOKUP($B31,'raw data results'!$A:$A,'raw data results'!L:L)</f>
        <v>781.307373046875</v>
      </c>
      <c r="O31">
        <f t="shared" si="0"/>
        <v>6810.1748657226472</v>
      </c>
    </row>
    <row r="32" spans="1:15" x14ac:dyDescent="0.25">
      <c r="B32" t="s">
        <v>18</v>
      </c>
      <c r="G32" t="s">
        <v>60</v>
      </c>
      <c r="H32">
        <v>600</v>
      </c>
      <c r="I32">
        <v>600</v>
      </c>
      <c r="J32">
        <v>840</v>
      </c>
      <c r="K32">
        <v>2040</v>
      </c>
      <c r="L32">
        <v>840</v>
      </c>
      <c r="M32">
        <v>1200</v>
      </c>
      <c r="N32">
        <v>840</v>
      </c>
      <c r="O32">
        <f t="shared" si="0"/>
        <v>6960</v>
      </c>
    </row>
    <row r="33" spans="1:15" x14ac:dyDescent="0.25">
      <c r="A33" s="2">
        <v>16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 results'!$A:$A,'raw data results'!F:F)</f>
        <v>4616.68994140625</v>
      </c>
      <c r="I33">
        <f>_xlfn.XLOOKUP($B33,'raw data results'!$A:$A,'raw data results'!G:G)</f>
        <v>4640.21435546875</v>
      </c>
      <c r="J33">
        <f>_xlfn.XLOOKUP($B33,'raw data results'!$A:$A,'raw data results'!H:H)</f>
        <v>4706.40771484375</v>
      </c>
      <c r="K33">
        <f>_xlfn.XLOOKUP($B33,'raw data results'!$A:$A,'raw data results'!I:I)</f>
        <v>4741.896484375</v>
      </c>
      <c r="L33">
        <f>_xlfn.XLOOKUP($B33,'raw data results'!$A:$A,'raw data results'!J:J)</f>
        <v>3885.73168945312</v>
      </c>
      <c r="M33">
        <f>_xlfn.XLOOKUP($B33,'raw data results'!$A:$A,'raw data results'!K:K)</f>
        <v>4239.53173828125</v>
      </c>
      <c r="N33">
        <f>_xlfn.XLOOKUP($B33,'raw data results'!$A:$A,'raw data results'!L:L)</f>
        <v>4325.58447265625</v>
      </c>
      <c r="O33">
        <f t="shared" si="0"/>
        <v>31156.056396484371</v>
      </c>
    </row>
    <row r="34" spans="1:15" x14ac:dyDescent="0.25">
      <c r="B34" t="s">
        <v>20</v>
      </c>
      <c r="G34" t="s">
        <v>60</v>
      </c>
      <c r="H34">
        <v>4200</v>
      </c>
      <c r="I34">
        <v>6000</v>
      </c>
      <c r="J34">
        <v>0</v>
      </c>
      <c r="K34">
        <v>4800</v>
      </c>
      <c r="L34">
        <v>2250</v>
      </c>
      <c r="M34">
        <v>3450</v>
      </c>
      <c r="N34">
        <v>3900</v>
      </c>
      <c r="O34">
        <f t="shared" si="0"/>
        <v>24600</v>
      </c>
    </row>
    <row r="35" spans="1:15" x14ac:dyDescent="0.25">
      <c r="A35" s="2">
        <v>17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 results'!$A:$A,'raw data results'!F:F)</f>
        <v>15997.903107701501</v>
      </c>
      <c r="I35">
        <f>_xlfn.XLOOKUP($B35,'raw data results'!$A:$A,'raw data results'!G:G)</f>
        <v>7112.3361385380304</v>
      </c>
      <c r="J35">
        <f>_xlfn.XLOOKUP($B35,'raw data results'!$A:$A,'raw data results'!H:H)</f>
        <v>12217.924071215501</v>
      </c>
      <c r="K35">
        <f>_xlfn.XLOOKUP($B35,'raw data results'!$A:$A,'raw data results'!I:I)</f>
        <v>10522.924894735501</v>
      </c>
      <c r="L35">
        <f>_xlfn.XLOOKUP($B35,'raw data results'!$A:$A,'raw data results'!J:J)</f>
        <v>16414.1149167271</v>
      </c>
      <c r="M35">
        <f>_xlfn.XLOOKUP($B35,'raw data results'!$A:$A,'raw data results'!K:K)</f>
        <v>6626.8424120322898</v>
      </c>
      <c r="N35">
        <f>_xlfn.XLOOKUP($B35,'raw data results'!$A:$A,'raw data results'!L:L)</f>
        <v>15049.601797440801</v>
      </c>
      <c r="O35">
        <f t="shared" si="0"/>
        <v>83941.647338390729</v>
      </c>
    </row>
    <row r="36" spans="1:15" x14ac:dyDescent="0.25">
      <c r="B36" t="s">
        <v>21</v>
      </c>
      <c r="G36" t="s">
        <v>60</v>
      </c>
      <c r="H36">
        <v>13800</v>
      </c>
      <c r="I36">
        <v>9000</v>
      </c>
      <c r="J36">
        <v>15600</v>
      </c>
      <c r="K36">
        <v>12671</v>
      </c>
      <c r="L36">
        <v>15600</v>
      </c>
      <c r="M36">
        <v>4200</v>
      </c>
      <c r="N36">
        <v>12000</v>
      </c>
      <c r="O36">
        <f t="shared" si="0"/>
        <v>82871</v>
      </c>
    </row>
    <row r="37" spans="1:15" x14ac:dyDescent="0.25">
      <c r="A37" s="2">
        <v>18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 results'!$A:$A,'raw data results'!F:F)</f>
        <v>2362.0030236900202</v>
      </c>
      <c r="I37">
        <f>_xlfn.XLOOKUP($B37,'raw data results'!$A:$A,'raw data results'!G:G)</f>
        <v>2160.01460649917</v>
      </c>
      <c r="J37">
        <f>_xlfn.XLOOKUP($B37,'raw data results'!$A:$A,'raw data results'!H:H)</f>
        <v>1985.00454249018</v>
      </c>
      <c r="K37">
        <f>_xlfn.XLOOKUP($B37,'raw data results'!$A:$A,'raw data results'!I:I)</f>
        <v>1866.1844272141</v>
      </c>
      <c r="L37">
        <f>_xlfn.XLOOKUP($B37,'raw data results'!$A:$A,'raw data results'!J:J)</f>
        <v>1495.4618151869399</v>
      </c>
      <c r="M37">
        <f>_xlfn.XLOOKUP($B37,'raw data results'!$A:$A,'raw data results'!K:K)</f>
        <v>2210.5049605251702</v>
      </c>
      <c r="N37">
        <f>_xlfn.XLOOKUP($B37,'raw data results'!$A:$A,'raw data results'!L:L)</f>
        <v>1719.8961414340399</v>
      </c>
      <c r="O37">
        <f t="shared" si="0"/>
        <v>13799.069517039619</v>
      </c>
    </row>
    <row r="38" spans="1:15" x14ac:dyDescent="0.25">
      <c r="B38" t="s">
        <v>23</v>
      </c>
      <c r="G38" t="s">
        <v>60</v>
      </c>
      <c r="H38">
        <v>1680</v>
      </c>
      <c r="I38">
        <v>3120</v>
      </c>
      <c r="J38">
        <v>1800</v>
      </c>
      <c r="K38">
        <v>2760</v>
      </c>
      <c r="L38">
        <v>2760</v>
      </c>
      <c r="M38">
        <v>2040</v>
      </c>
      <c r="N38">
        <v>960</v>
      </c>
      <c r="O38">
        <f t="shared" si="0"/>
        <v>15120</v>
      </c>
    </row>
    <row r="39" spans="1:15" x14ac:dyDescent="0.25">
      <c r="A39" s="2">
        <v>19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 results'!$A:$A,'raw data results'!F:F)</f>
        <v>4350</v>
      </c>
      <c r="I39">
        <f>_xlfn.XLOOKUP($B39,'raw data results'!$A:$A,'raw data results'!G:G)</f>
        <v>2010</v>
      </c>
      <c r="J39">
        <f>_xlfn.XLOOKUP($B39,'raw data results'!$A:$A,'raw data results'!H:H)</f>
        <v>1860</v>
      </c>
      <c r="K39">
        <f>_xlfn.XLOOKUP($B39,'raw data results'!$A:$A,'raw data results'!I:I)</f>
        <v>3480</v>
      </c>
      <c r="L39">
        <f>_xlfn.XLOOKUP($B39,'raw data results'!$A:$A,'raw data results'!J:J)</f>
        <v>5100</v>
      </c>
      <c r="M39">
        <f>_xlfn.XLOOKUP($B39,'raw data results'!$A:$A,'raw data results'!K:K)</f>
        <v>3900</v>
      </c>
      <c r="N39">
        <f>_xlfn.XLOOKUP($B39,'raw data results'!$A:$A,'raw data results'!L:L)</f>
        <v>3255</v>
      </c>
      <c r="O39">
        <f t="shared" si="0"/>
        <v>23955</v>
      </c>
    </row>
    <row r="40" spans="1:15" x14ac:dyDescent="0.25">
      <c r="B40" t="s">
        <v>25</v>
      </c>
      <c r="G40" t="s">
        <v>60</v>
      </c>
      <c r="H40">
        <v>8400</v>
      </c>
      <c r="I40">
        <v>240</v>
      </c>
      <c r="J40">
        <v>4200</v>
      </c>
      <c r="K40">
        <v>6240</v>
      </c>
      <c r="L40">
        <v>3240</v>
      </c>
      <c r="M40">
        <v>1200</v>
      </c>
      <c r="N40">
        <v>4200</v>
      </c>
      <c r="O40">
        <f t="shared" si="0"/>
        <v>27720</v>
      </c>
    </row>
    <row r="41" spans="1:15" x14ac:dyDescent="0.25">
      <c r="A41" s="2">
        <v>20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 results'!$A:$A,'raw data results'!F:F)</f>
        <v>20603.591743652101</v>
      </c>
      <c r="I41">
        <f>_xlfn.XLOOKUP($B41,'raw data results'!$A:$A,'raw data results'!G:G)</f>
        <v>1925.32838398083</v>
      </c>
      <c r="J41">
        <f>_xlfn.XLOOKUP($B41,'raw data results'!$A:$A,'raw data results'!H:H)</f>
        <v>7963.9648328716703</v>
      </c>
      <c r="K41">
        <f>_xlfn.XLOOKUP($B41,'raw data results'!$A:$A,'raw data results'!I:I)</f>
        <v>13717.6532387435</v>
      </c>
      <c r="L41">
        <f>_xlfn.XLOOKUP($B41,'raw data results'!$A:$A,'raw data results'!J:J)</f>
        <v>7801.81024984337</v>
      </c>
      <c r="M41">
        <f>_xlfn.XLOOKUP($B41,'raw data results'!$A:$A,'raw data results'!K:K)</f>
        <v>6523.14940214529</v>
      </c>
      <c r="N41">
        <f>_xlfn.XLOOKUP($B41,'raw data results'!$A:$A,'raw data results'!L:L)</f>
        <v>6065.56881729</v>
      </c>
      <c r="O41">
        <f t="shared" si="0"/>
        <v>64601.066668526764</v>
      </c>
    </row>
    <row r="42" spans="1:15" x14ac:dyDescent="0.25">
      <c r="B42" t="s">
        <v>28</v>
      </c>
      <c r="G42" t="s">
        <v>60</v>
      </c>
      <c r="H42">
        <v>8400</v>
      </c>
      <c r="I42">
        <v>1800</v>
      </c>
      <c r="J42">
        <v>5400</v>
      </c>
      <c r="K42">
        <v>10800</v>
      </c>
      <c r="L42">
        <v>16800</v>
      </c>
      <c r="M42">
        <v>6360</v>
      </c>
      <c r="N42">
        <v>10800</v>
      </c>
      <c r="O42">
        <f t="shared" si="0"/>
        <v>60360</v>
      </c>
    </row>
    <row r="43" spans="1:15" x14ac:dyDescent="0.25">
      <c r="A43" s="2">
        <v>21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 results'!$A:$A,'raw data results'!F:F)</f>
        <v>4607.6328125</v>
      </c>
      <c r="I43">
        <f>_xlfn.XLOOKUP($B43,'raw data results'!$A:$A,'raw data results'!G:G)</f>
        <v>3306.84155273437</v>
      </c>
      <c r="J43">
        <f>_xlfn.XLOOKUP($B43,'raw data results'!$A:$A,'raw data results'!H:H)</f>
        <v>2118.6025390625</v>
      </c>
      <c r="K43">
        <f>_xlfn.XLOOKUP($B43,'raw data results'!$A:$A,'raw data results'!I:I)</f>
        <v>4451.60986328125</v>
      </c>
      <c r="L43">
        <f>_xlfn.XLOOKUP($B43,'raw data results'!$A:$A,'raw data results'!J:J)</f>
        <v>6878.49609375</v>
      </c>
      <c r="M43">
        <f>_xlfn.XLOOKUP($B43,'raw data results'!$A:$A,'raw data results'!K:K)</f>
        <v>2469.4462890625</v>
      </c>
      <c r="N43">
        <f>_xlfn.XLOOKUP($B43,'raw data results'!$A:$A,'raw data results'!L:L)</f>
        <v>2472.11303710937</v>
      </c>
      <c r="O43">
        <f t="shared" si="0"/>
        <v>26304.742187499989</v>
      </c>
    </row>
    <row r="44" spans="1:15" x14ac:dyDescent="0.25">
      <c r="B44" t="s">
        <v>29</v>
      </c>
      <c r="G44" t="s">
        <v>60</v>
      </c>
      <c r="H44">
        <v>1800</v>
      </c>
      <c r="I44">
        <v>3840</v>
      </c>
      <c r="J44">
        <v>960</v>
      </c>
      <c r="K44">
        <v>4680</v>
      </c>
      <c r="L44">
        <v>13200</v>
      </c>
      <c r="M44">
        <v>1800</v>
      </c>
      <c r="N44">
        <v>4320</v>
      </c>
      <c r="O44">
        <f t="shared" si="0"/>
        <v>30600</v>
      </c>
    </row>
    <row r="45" spans="1:15" x14ac:dyDescent="0.25">
      <c r="A45" s="2">
        <v>22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 results'!$A:$A,'raw data results'!F:F)</f>
        <v>3116.6119789239701</v>
      </c>
      <c r="I45">
        <f>_xlfn.XLOOKUP($B45,'raw data results'!$A:$A,'raw data results'!G:G)</f>
        <v>1823.15443227678</v>
      </c>
      <c r="J45">
        <f>_xlfn.XLOOKUP($B45,'raw data results'!$A:$A,'raw data results'!H:H)</f>
        <v>1153.3182293623399</v>
      </c>
      <c r="K45">
        <f>_xlfn.XLOOKUP($B45,'raw data results'!$A:$A,'raw data results'!I:I)</f>
        <v>4419.9290176676204</v>
      </c>
      <c r="L45">
        <f>_xlfn.XLOOKUP($B45,'raw data results'!$A:$A,'raw data results'!J:J)</f>
        <v>5542.4764088645497</v>
      </c>
      <c r="M45">
        <f>_xlfn.XLOOKUP($B45,'raw data results'!$A:$A,'raw data results'!K:K)</f>
        <v>5220.6738233263104</v>
      </c>
      <c r="N45">
        <f>_xlfn.XLOOKUP($B45,'raw data results'!$A:$A,'raw data results'!L:L)</f>
        <v>2953.6122369241998</v>
      </c>
      <c r="O45">
        <f t="shared" si="0"/>
        <v>24229.776127345769</v>
      </c>
    </row>
    <row r="46" spans="1:15" x14ac:dyDescent="0.25">
      <c r="B46" t="s">
        <v>30</v>
      </c>
      <c r="G46" t="s">
        <v>60</v>
      </c>
      <c r="H46">
        <v>3000</v>
      </c>
      <c r="I46">
        <v>840</v>
      </c>
      <c r="J46">
        <v>840</v>
      </c>
      <c r="K46">
        <v>5040</v>
      </c>
      <c r="L46">
        <v>6240</v>
      </c>
      <c r="M46">
        <v>6960</v>
      </c>
      <c r="N46">
        <v>2160</v>
      </c>
      <c r="O46">
        <f t="shared" si="0"/>
        <v>25080</v>
      </c>
    </row>
    <row r="47" spans="1:15" x14ac:dyDescent="0.25">
      <c r="A47" s="2">
        <v>23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 results'!$A:$A,'raw data results'!F:F)</f>
        <v>4913.2942858307097</v>
      </c>
      <c r="I47">
        <f>_xlfn.XLOOKUP($B47,'raw data results'!$A:$A,'raw data results'!G:G)</f>
        <v>2474.0819305780001</v>
      </c>
      <c r="J47">
        <f>_xlfn.XLOOKUP($B47,'raw data results'!$A:$A,'raw data results'!H:H)</f>
        <v>3221.7729473025302</v>
      </c>
      <c r="K47">
        <f>_xlfn.XLOOKUP($B47,'raw data results'!$A:$A,'raw data results'!I:I)</f>
        <v>4265.1232506900596</v>
      </c>
      <c r="L47">
        <f>_xlfn.XLOOKUP($B47,'raw data results'!$A:$A,'raw data results'!J:J)</f>
        <v>8085.6765504918003</v>
      </c>
      <c r="M47">
        <f>_xlfn.XLOOKUP($B47,'raw data results'!$A:$A,'raw data results'!K:K)</f>
        <v>3074.7500358347402</v>
      </c>
      <c r="N47">
        <f>_xlfn.XLOOKUP($B47,'raw data results'!$A:$A,'raw data results'!L:L)</f>
        <v>7854.0385704509199</v>
      </c>
      <c r="O47">
        <f t="shared" ref="O47:O54" si="1">SUM(H47:N47)</f>
        <v>33888.737571178754</v>
      </c>
    </row>
    <row r="48" spans="1:15" x14ac:dyDescent="0.25">
      <c r="B48" t="s">
        <v>32</v>
      </c>
      <c r="G48" t="s">
        <v>60</v>
      </c>
      <c r="H48">
        <v>5160</v>
      </c>
      <c r="I48">
        <v>3720</v>
      </c>
      <c r="J48">
        <v>3000</v>
      </c>
      <c r="K48">
        <v>4800</v>
      </c>
      <c r="L48">
        <v>6720</v>
      </c>
      <c r="M48">
        <v>2400</v>
      </c>
      <c r="N48">
        <v>7800</v>
      </c>
      <c r="O48">
        <f t="shared" si="1"/>
        <v>33600</v>
      </c>
    </row>
    <row r="49" spans="1:15" x14ac:dyDescent="0.25">
      <c r="A49" s="2">
        <v>24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 results'!$A:$A,'raw data results'!F:F)</f>
        <v>3182.3999999999701</v>
      </c>
      <c r="I49">
        <f>_xlfn.XLOOKUP($B49,'raw data results'!$A:$A,'raw data results'!G:G)</f>
        <v>3848.8888888889301</v>
      </c>
      <c r="J49">
        <f>_xlfn.XLOOKUP($B49,'raw data results'!$A:$A,'raw data results'!H:H)</f>
        <v>3182.3999999999701</v>
      </c>
      <c r="K49">
        <f>_xlfn.XLOOKUP($B49,'raw data results'!$A:$A,'raw data results'!I:I)</f>
        <v>4288</v>
      </c>
      <c r="L49">
        <f>_xlfn.XLOOKUP($B49,'raw data results'!$A:$A,'raw data results'!J:J)</f>
        <v>3848.8888888889301</v>
      </c>
      <c r="M49">
        <f>_xlfn.XLOOKUP($B49,'raw data results'!$A:$A,'raw data results'!K:K)</f>
        <v>4288</v>
      </c>
      <c r="N49">
        <f>_xlfn.XLOOKUP($B49,'raw data results'!$A:$A,'raw data results'!L:L)</f>
        <v>6793.8461538461197</v>
      </c>
      <c r="O49">
        <f t="shared" si="1"/>
        <v>29432.423931623918</v>
      </c>
    </row>
    <row r="50" spans="1:15" x14ac:dyDescent="0.25">
      <c r="B50" t="s">
        <v>33</v>
      </c>
      <c r="G50" t="s">
        <v>60</v>
      </c>
      <c r="H50">
        <v>1800</v>
      </c>
      <c r="I50">
        <v>7200</v>
      </c>
      <c r="J50">
        <v>2640</v>
      </c>
      <c r="K50">
        <v>6120</v>
      </c>
      <c r="L50">
        <v>5400</v>
      </c>
      <c r="M50">
        <v>1200</v>
      </c>
      <c r="N50">
        <v>4200</v>
      </c>
      <c r="O50">
        <f t="shared" si="1"/>
        <v>28560</v>
      </c>
    </row>
    <row r="51" spans="1:15" x14ac:dyDescent="0.25">
      <c r="A51" s="2">
        <v>25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 results'!$A:$A,'raw data results'!F:F)</f>
        <v>2753.9737866731198</v>
      </c>
      <c r="I51">
        <f>_xlfn.XLOOKUP($B51,'raw data results'!$A:$A,'raw data results'!G:G)</f>
        <v>1613.5831747091599</v>
      </c>
      <c r="J51">
        <f>_xlfn.XLOOKUP($B51,'raw data results'!$A:$A,'raw data results'!H:H)</f>
        <v>865.29997760859897</v>
      </c>
      <c r="K51">
        <f>_xlfn.XLOOKUP($B51,'raw data results'!$A:$A,'raw data results'!I:I)</f>
        <v>2235.1541998644698</v>
      </c>
      <c r="L51">
        <f>_xlfn.XLOOKUP($B51,'raw data results'!$A:$A,'raw data results'!J:J)</f>
        <v>3311.3172806868201</v>
      </c>
      <c r="M51">
        <f>_xlfn.XLOOKUP($B51,'raw data results'!$A:$A,'raw data results'!K:K)</f>
        <v>2030.8182732297</v>
      </c>
      <c r="N51">
        <f>_xlfn.XLOOKUP($B51,'raw data results'!$A:$A,'raw data results'!L:L)</f>
        <v>1721.2164629496799</v>
      </c>
      <c r="O51">
        <f t="shared" si="1"/>
        <v>14531.363155721549</v>
      </c>
    </row>
    <row r="52" spans="1:15" x14ac:dyDescent="0.25">
      <c r="B52" t="s">
        <v>35</v>
      </c>
      <c r="G52" t="s">
        <v>60</v>
      </c>
      <c r="H52">
        <v>2520</v>
      </c>
      <c r="I52">
        <v>1200</v>
      </c>
      <c r="J52">
        <v>0</v>
      </c>
      <c r="K52">
        <v>2400</v>
      </c>
      <c r="L52">
        <v>4440</v>
      </c>
      <c r="M52">
        <v>1920</v>
      </c>
      <c r="N52">
        <v>1800</v>
      </c>
      <c r="O52">
        <f t="shared" si="1"/>
        <v>14280</v>
      </c>
    </row>
    <row r="53" spans="1:15" x14ac:dyDescent="0.25">
      <c r="A53" s="2">
        <v>26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 results'!$A:$A,'raw data results'!F:F)</f>
        <v>3171.8998645884099</v>
      </c>
      <c r="I53">
        <f>_xlfn.XLOOKUP($B53,'raw data results'!$A:$A,'raw data results'!G:G)</f>
        <v>1725.37003410586</v>
      </c>
      <c r="J53">
        <f>_xlfn.XLOOKUP($B53,'raw data results'!$A:$A,'raw data results'!H:H)</f>
        <v>1856.5599081862899</v>
      </c>
      <c r="K53">
        <f>_xlfn.XLOOKUP($B53,'raw data results'!$A:$A,'raw data results'!I:I)</f>
        <v>2060.0678858031802</v>
      </c>
      <c r="L53">
        <f>_xlfn.XLOOKUP($B53,'raw data results'!$A:$A,'raw data results'!J:J)</f>
        <v>1589.6633459730899</v>
      </c>
      <c r="M53">
        <f>_xlfn.XLOOKUP($B53,'raw data results'!$A:$A,'raw data results'!K:K)</f>
        <v>2096.6911948144798</v>
      </c>
      <c r="N53">
        <f>_xlfn.XLOOKUP($B53,'raw data results'!$A:$A,'raw data results'!L:L)</f>
        <v>1740.3323667540001</v>
      </c>
      <c r="O53">
        <f t="shared" si="1"/>
        <v>14240.584600225311</v>
      </c>
    </row>
    <row r="54" spans="1:15" x14ac:dyDescent="0.25">
      <c r="B54" t="s">
        <v>37</v>
      </c>
      <c r="G54" t="s">
        <v>60</v>
      </c>
      <c r="H54">
        <v>3360</v>
      </c>
      <c r="I54">
        <v>1800</v>
      </c>
      <c r="J54">
        <v>1800</v>
      </c>
      <c r="K54">
        <v>2160</v>
      </c>
      <c r="L54">
        <v>3480</v>
      </c>
      <c r="M54">
        <v>1920</v>
      </c>
      <c r="N54">
        <v>1560</v>
      </c>
      <c r="O54">
        <f t="shared" si="1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I27" sqref="I27"/>
    </sheetView>
  </sheetViews>
  <sheetFormatPr baseColWidth="10" defaultRowHeight="15" x14ac:dyDescent="0.25"/>
  <cols>
    <col min="2" max="2" width="28.42578125" bestFit="1" customWidth="1"/>
    <col min="6" max="6" width="12" bestFit="1" customWidth="1"/>
  </cols>
  <sheetData>
    <row r="1" spans="1:12" x14ac:dyDescent="0.25">
      <c r="A1" s="9" t="s">
        <v>0</v>
      </c>
      <c r="B1" s="9" t="s">
        <v>73</v>
      </c>
      <c r="C1" s="9" t="s">
        <v>3</v>
      </c>
      <c r="D1" s="9" t="s">
        <v>2</v>
      </c>
      <c r="E1" s="9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t="s">
        <v>6</v>
      </c>
      <c r="B2" t="s">
        <v>69</v>
      </c>
      <c r="C2">
        <v>4803.6650286494296</v>
      </c>
      <c r="D2">
        <v>3797.2027064732142</v>
      </c>
      <c r="E2">
        <v>21.544672864303639</v>
      </c>
      <c r="F2">
        <v>17732.3828125</v>
      </c>
      <c r="G2">
        <v>17583.427734375</v>
      </c>
      <c r="H2">
        <v>11592.337890625</v>
      </c>
      <c r="I2">
        <v>24708.08984375</v>
      </c>
      <c r="J2">
        <v>27090.490234375</v>
      </c>
      <c r="K2">
        <v>19709.576171875</v>
      </c>
      <c r="L2">
        <v>11969.0224609375</v>
      </c>
    </row>
    <row r="3" spans="1:12" x14ac:dyDescent="0.25">
      <c r="A3" t="s">
        <v>8</v>
      </c>
      <c r="B3" t="s">
        <v>70</v>
      </c>
      <c r="C3">
        <v>305.86595330614978</v>
      </c>
      <c r="D3">
        <v>262.42527187681901</v>
      </c>
      <c r="E3">
        <v>20.45068952571685</v>
      </c>
      <c r="F3">
        <v>1211.13505526838</v>
      </c>
      <c r="G3">
        <v>655.16622796664706</v>
      </c>
      <c r="H3">
        <v>1005.0083996956999</v>
      </c>
      <c r="I3">
        <v>1129.1175218393</v>
      </c>
      <c r="J3">
        <v>1613.38043911505</v>
      </c>
      <c r="K3">
        <v>503.003376080355</v>
      </c>
      <c r="L3">
        <v>1226.21207689681</v>
      </c>
    </row>
    <row r="4" spans="1:12" x14ac:dyDescent="0.25">
      <c r="A4" t="s">
        <v>10</v>
      </c>
      <c r="B4" t="s">
        <v>70</v>
      </c>
      <c r="C4">
        <v>206.11637525318119</v>
      </c>
      <c r="D4">
        <v>183.84810600977849</v>
      </c>
      <c r="E4">
        <v>24.570900078862511</v>
      </c>
      <c r="F4">
        <v>796.84389383258997</v>
      </c>
      <c r="G4">
        <v>1591.00217252161</v>
      </c>
      <c r="H4">
        <v>564.01264032728704</v>
      </c>
      <c r="I4">
        <v>1151.1265679718199</v>
      </c>
      <c r="J4">
        <v>1537.4986178484701</v>
      </c>
      <c r="K4">
        <v>884.43201176208004</v>
      </c>
      <c r="L4">
        <v>1095.9748171521901</v>
      </c>
    </row>
    <row r="5" spans="1:12" x14ac:dyDescent="0.25">
      <c r="A5" t="s">
        <v>12</v>
      </c>
      <c r="B5" t="s">
        <v>70</v>
      </c>
      <c r="C5">
        <v>147.7305591096937</v>
      </c>
      <c r="D5">
        <v>109.1829778806827</v>
      </c>
      <c r="E5">
        <v>26.86850389828211</v>
      </c>
      <c r="F5">
        <v>59.121967721668902</v>
      </c>
      <c r="G5">
        <v>379.01234311393102</v>
      </c>
      <c r="H5">
        <v>0</v>
      </c>
      <c r="I5">
        <v>674.80072030954</v>
      </c>
      <c r="J5">
        <v>342.34066128731303</v>
      </c>
      <c r="K5">
        <v>1137.3093588803699</v>
      </c>
      <c r="L5">
        <v>662.73554414147202</v>
      </c>
    </row>
    <row r="6" spans="1:12" x14ac:dyDescent="0.25">
      <c r="A6" t="s">
        <v>14</v>
      </c>
      <c r="B6" t="s">
        <v>71</v>
      </c>
      <c r="C6">
        <v>237.57692572908081</v>
      </c>
      <c r="D6">
        <v>190.35012500540299</v>
      </c>
      <c r="E6">
        <v>43.584567308978947</v>
      </c>
      <c r="F6">
        <v>299.79487092956401</v>
      </c>
      <c r="G6">
        <v>455.64083220376398</v>
      </c>
      <c r="H6">
        <v>335.97791189850301</v>
      </c>
      <c r="I6">
        <v>422.56818141431501</v>
      </c>
      <c r="J6">
        <v>509.819258978204</v>
      </c>
      <c r="K6">
        <v>543.92608275680698</v>
      </c>
      <c r="L6">
        <v>559.21971795077002</v>
      </c>
    </row>
    <row r="7" spans="1:12" ht="15.75" customHeight="1" x14ac:dyDescent="0.25">
      <c r="A7" t="s">
        <v>16</v>
      </c>
      <c r="B7" t="s">
        <v>69</v>
      </c>
      <c r="C7">
        <v>654.69972747023087</v>
      </c>
      <c r="D7">
        <v>541.30324227469305</v>
      </c>
      <c r="E7">
        <v>40.677424757614283</v>
      </c>
      <c r="F7">
        <v>1265.97509765625</v>
      </c>
      <c r="G7">
        <v>214.92283630371</v>
      </c>
      <c r="H7">
        <v>1984.00134277343</v>
      </c>
      <c r="I7">
        <v>2153.0087890625</v>
      </c>
      <c r="J7">
        <v>5744.81005859375</v>
      </c>
      <c r="K7">
        <v>754.112548828125</v>
      </c>
      <c r="L7">
        <v>2171.71069335937</v>
      </c>
    </row>
    <row r="8" spans="1:12" x14ac:dyDescent="0.25">
      <c r="A8" t="s">
        <v>18</v>
      </c>
      <c r="B8" t="s">
        <v>69</v>
      </c>
      <c r="C8">
        <v>179.64657219055789</v>
      </c>
      <c r="D8">
        <v>141.83709716796881</v>
      </c>
      <c r="E8">
        <v>13.211921878126249</v>
      </c>
      <c r="F8">
        <v>513.68316650390602</v>
      </c>
      <c r="G8">
        <v>533.84167480468705</v>
      </c>
      <c r="H8">
        <v>938.74566650390602</v>
      </c>
      <c r="I8">
        <v>1733.73266601562</v>
      </c>
      <c r="J8">
        <v>786.09271240234295</v>
      </c>
      <c r="K8">
        <v>1522.77160644531</v>
      </c>
      <c r="L8">
        <v>781.307373046875</v>
      </c>
    </row>
    <row r="9" spans="1:12" x14ac:dyDescent="0.25">
      <c r="A9" t="s">
        <v>20</v>
      </c>
      <c r="B9" t="s">
        <v>69</v>
      </c>
      <c r="C9">
        <v>875.39892203747388</v>
      </c>
      <c r="D9">
        <v>679.921142578125</v>
      </c>
      <c r="E9">
        <v>20.334478829984821</v>
      </c>
      <c r="F9">
        <v>4616.68994140625</v>
      </c>
      <c r="G9">
        <v>4640.21435546875</v>
      </c>
      <c r="H9">
        <v>4706.40771484375</v>
      </c>
      <c r="I9">
        <v>4741.896484375</v>
      </c>
      <c r="J9">
        <v>3885.73168945312</v>
      </c>
      <c r="K9">
        <v>4239.53173828125</v>
      </c>
      <c r="L9">
        <v>4325.58447265625</v>
      </c>
    </row>
    <row r="10" spans="1:12" x14ac:dyDescent="0.25">
      <c r="A10" t="s">
        <v>21</v>
      </c>
      <c r="B10" t="s">
        <v>70</v>
      </c>
      <c r="C10">
        <v>2399.3789519095012</v>
      </c>
      <c r="D10">
        <v>2272.3253042018068</v>
      </c>
      <c r="E10">
        <v>23.421076408227311</v>
      </c>
      <c r="F10">
        <v>15997.903107701501</v>
      </c>
      <c r="G10">
        <v>7112.3361385380304</v>
      </c>
      <c r="H10">
        <v>12217.924071215501</v>
      </c>
      <c r="I10">
        <v>10522.924894735501</v>
      </c>
      <c r="J10">
        <v>16414.1149167271</v>
      </c>
      <c r="K10">
        <v>6626.8424120322898</v>
      </c>
      <c r="L10">
        <v>15049.601797440801</v>
      </c>
    </row>
    <row r="11" spans="1:12" x14ac:dyDescent="0.25">
      <c r="A11" t="s">
        <v>23</v>
      </c>
      <c r="B11" t="s">
        <v>72</v>
      </c>
      <c r="C11">
        <v>795.11040986539342</v>
      </c>
      <c r="D11">
        <v>702.24968846274453</v>
      </c>
      <c r="E11">
        <v>35.336766899292599</v>
      </c>
      <c r="F11">
        <v>2362.0030236900202</v>
      </c>
      <c r="G11">
        <v>2160.01460649917</v>
      </c>
      <c r="H11">
        <v>1985.00454249018</v>
      </c>
      <c r="I11">
        <v>1866.1844272141</v>
      </c>
      <c r="J11">
        <v>1495.4618151869399</v>
      </c>
      <c r="K11">
        <v>2210.5049605251702</v>
      </c>
      <c r="L11">
        <v>1719.8961414340399</v>
      </c>
    </row>
    <row r="12" spans="1:12" x14ac:dyDescent="0.25">
      <c r="A12" t="s">
        <v>25</v>
      </c>
      <c r="B12" t="s">
        <v>72</v>
      </c>
      <c r="C12">
        <v>2335.2217698295199</v>
      </c>
      <c r="D12">
        <v>2226.428571428572</v>
      </c>
      <c r="E12">
        <v>169.2589685446828</v>
      </c>
      <c r="F12">
        <v>4350</v>
      </c>
      <c r="G12">
        <v>2010</v>
      </c>
      <c r="H12">
        <v>1860</v>
      </c>
      <c r="I12">
        <v>3480</v>
      </c>
      <c r="J12">
        <v>5100</v>
      </c>
      <c r="K12">
        <v>3900</v>
      </c>
      <c r="L12">
        <v>3255</v>
      </c>
    </row>
    <row r="13" spans="1:12" x14ac:dyDescent="0.25">
      <c r="A13" t="s">
        <v>27</v>
      </c>
      <c r="B13" t="s">
        <v>69</v>
      </c>
      <c r="C13">
        <v>1059.8583662721269</v>
      </c>
      <c r="D13">
        <v>946.27476283482144</v>
      </c>
      <c r="E13">
        <v>23.389055515961719</v>
      </c>
      <c r="F13">
        <v>5696.66162109375</v>
      </c>
      <c r="G13">
        <v>5773.73974609375</v>
      </c>
      <c r="H13">
        <v>4454.2109375</v>
      </c>
      <c r="I13">
        <v>4727.28125</v>
      </c>
      <c r="J13">
        <v>3828.8251953125</v>
      </c>
      <c r="K13">
        <v>3392.5810546875</v>
      </c>
      <c r="L13">
        <v>4312.06103515625</v>
      </c>
    </row>
    <row r="14" spans="1:12" x14ac:dyDescent="0.25">
      <c r="A14" t="s">
        <v>28</v>
      </c>
      <c r="B14" t="s">
        <v>70</v>
      </c>
      <c r="C14">
        <v>5850.3863232738158</v>
      </c>
      <c r="D14">
        <v>4285.1869334657385</v>
      </c>
      <c r="E14">
        <v>45.920055834759438</v>
      </c>
      <c r="F14">
        <v>20603.591743652101</v>
      </c>
      <c r="G14">
        <v>1925.32838398083</v>
      </c>
      <c r="H14">
        <v>7963.9648328716703</v>
      </c>
      <c r="I14">
        <v>13717.6532387435</v>
      </c>
      <c r="J14">
        <v>7801.81024984337</v>
      </c>
      <c r="K14">
        <v>6523.14940214529</v>
      </c>
      <c r="L14">
        <v>6065.56881729</v>
      </c>
    </row>
    <row r="15" spans="1:12" x14ac:dyDescent="0.25">
      <c r="A15" t="s">
        <v>29</v>
      </c>
      <c r="B15" t="s">
        <v>69</v>
      </c>
      <c r="C15">
        <v>1452.7568729627981</v>
      </c>
      <c r="D15">
        <v>1200.945870535714</v>
      </c>
      <c r="E15">
        <v>55.692145507204259</v>
      </c>
      <c r="F15">
        <v>4607.6328125</v>
      </c>
      <c r="G15">
        <v>3306.84155273437</v>
      </c>
      <c r="H15">
        <v>2118.6025390625</v>
      </c>
      <c r="I15">
        <v>4451.60986328125</v>
      </c>
      <c r="J15">
        <v>6878.49609375</v>
      </c>
      <c r="K15">
        <v>2469.4462890625</v>
      </c>
      <c r="L15">
        <v>2472.11303710937</v>
      </c>
    </row>
    <row r="16" spans="1:12" x14ac:dyDescent="0.25">
      <c r="A16" t="s">
        <v>30</v>
      </c>
      <c r="B16" t="s">
        <v>70</v>
      </c>
      <c r="C16">
        <v>894.78348689693757</v>
      </c>
      <c r="D16">
        <v>751.94537537554766</v>
      </c>
      <c r="E16">
        <v>34.777419106804302</v>
      </c>
      <c r="F16">
        <v>3116.6119789239701</v>
      </c>
      <c r="G16">
        <v>1823.15443227678</v>
      </c>
      <c r="H16">
        <v>1153.3182293623399</v>
      </c>
      <c r="I16">
        <v>4419.9290176676204</v>
      </c>
      <c r="J16">
        <v>5542.4764088645497</v>
      </c>
      <c r="K16">
        <v>5220.6738233263104</v>
      </c>
      <c r="L16">
        <v>2953.6122369241998</v>
      </c>
    </row>
    <row r="17" spans="1:12" x14ac:dyDescent="0.25">
      <c r="A17" t="s">
        <v>32</v>
      </c>
      <c r="B17" t="s">
        <v>70</v>
      </c>
      <c r="C17">
        <v>781.18336431176965</v>
      </c>
      <c r="D17">
        <v>620.53409099731891</v>
      </c>
      <c r="E17">
        <v>15.134170232488129</v>
      </c>
      <c r="F17">
        <v>4913.2942858307097</v>
      </c>
      <c r="G17">
        <v>2474.0819305780001</v>
      </c>
      <c r="H17">
        <v>3221.7729473025302</v>
      </c>
      <c r="I17">
        <v>4265.1232506900596</v>
      </c>
      <c r="J17">
        <v>8085.6765504918003</v>
      </c>
      <c r="K17">
        <v>3074.7500358347402</v>
      </c>
      <c r="L17">
        <v>7854.0385704509199</v>
      </c>
    </row>
    <row r="18" spans="1:12" x14ac:dyDescent="0.25">
      <c r="A18" t="s">
        <v>33</v>
      </c>
      <c r="B18" t="s">
        <v>71</v>
      </c>
      <c r="C18">
        <v>2250.7498670394439</v>
      </c>
      <c r="D18">
        <v>2048.6954822954599</v>
      </c>
      <c r="E18">
        <v>74.519879981690778</v>
      </c>
      <c r="F18">
        <v>3182.3999999999701</v>
      </c>
      <c r="G18">
        <v>3848.8888888889301</v>
      </c>
      <c r="H18">
        <v>3182.3999999999701</v>
      </c>
      <c r="I18">
        <v>4288</v>
      </c>
      <c r="J18">
        <v>3848.8888888889301</v>
      </c>
      <c r="K18">
        <v>4288</v>
      </c>
      <c r="L18">
        <v>6793.8461538461197</v>
      </c>
    </row>
    <row r="19" spans="1:12" x14ac:dyDescent="0.25">
      <c r="A19" t="s">
        <v>35</v>
      </c>
      <c r="B19" t="s">
        <v>70</v>
      </c>
      <c r="C19">
        <v>572.47896787223362</v>
      </c>
      <c r="D19">
        <v>427.99818124566002</v>
      </c>
      <c r="E19">
        <v>14.36465730651615</v>
      </c>
      <c r="F19">
        <v>2753.9737866731198</v>
      </c>
      <c r="G19">
        <v>1613.5831747091599</v>
      </c>
      <c r="H19">
        <v>865.29997760859897</v>
      </c>
      <c r="I19">
        <v>2235.1541998644698</v>
      </c>
      <c r="J19">
        <v>3311.3172806868201</v>
      </c>
      <c r="K19">
        <v>2030.8182732297</v>
      </c>
      <c r="L19">
        <v>1721.2164629496799</v>
      </c>
    </row>
    <row r="20" spans="1:12" x14ac:dyDescent="0.25">
      <c r="A20" t="s">
        <v>37</v>
      </c>
      <c r="B20" t="s">
        <v>70</v>
      </c>
      <c r="C20">
        <v>726.16890496778865</v>
      </c>
      <c r="D20">
        <v>380.94033418346152</v>
      </c>
      <c r="E20">
        <v>13.22792624458201</v>
      </c>
      <c r="F20">
        <v>3171.8998645884099</v>
      </c>
      <c r="G20">
        <v>1725.37003410586</v>
      </c>
      <c r="H20">
        <v>1856.5599081862899</v>
      </c>
      <c r="I20">
        <v>2060.0678858031802</v>
      </c>
      <c r="J20">
        <v>1589.6633459730899</v>
      </c>
      <c r="K20">
        <v>2096.6911948144798</v>
      </c>
      <c r="L20">
        <v>1740.3323667540001</v>
      </c>
    </row>
    <row r="21" spans="1:12" x14ac:dyDescent="0.25">
      <c r="A21" t="s">
        <v>38</v>
      </c>
      <c r="B21" t="s">
        <v>70</v>
      </c>
      <c r="C21">
        <v>3130.7481233711242</v>
      </c>
      <c r="D21">
        <v>2808.9208061954132</v>
      </c>
      <c r="E21">
        <v>25.803817983414451</v>
      </c>
      <c r="F21">
        <v>13368.327049369</v>
      </c>
      <c r="G21">
        <v>14947.5282774022</v>
      </c>
      <c r="H21">
        <v>12300.1030117262</v>
      </c>
      <c r="I21">
        <v>15806.682219726899</v>
      </c>
      <c r="J21">
        <v>14442.0118159472</v>
      </c>
      <c r="K21">
        <v>9306.1654872028903</v>
      </c>
      <c r="L21">
        <v>11884.072408146199</v>
      </c>
    </row>
    <row r="22" spans="1:12" x14ac:dyDescent="0.25">
      <c r="A22" t="s">
        <v>40</v>
      </c>
      <c r="B22" t="s">
        <v>70</v>
      </c>
      <c r="C22">
        <v>992.62585981452037</v>
      </c>
      <c r="D22">
        <v>881.17312129027994</v>
      </c>
      <c r="E22">
        <v>21.957129448094371</v>
      </c>
      <c r="F22">
        <v>4244.4324936697003</v>
      </c>
      <c r="G22">
        <v>3350.2195904531</v>
      </c>
      <c r="H22">
        <v>5259.2929499725897</v>
      </c>
      <c r="I22">
        <v>4665.2234707494199</v>
      </c>
      <c r="J22">
        <v>5283.1007551033299</v>
      </c>
      <c r="K22">
        <v>4704.5080350648896</v>
      </c>
      <c r="L22">
        <v>5192.3206764239503</v>
      </c>
    </row>
    <row r="23" spans="1:12" x14ac:dyDescent="0.25">
      <c r="A23" t="s">
        <v>41</v>
      </c>
      <c r="B23" t="s">
        <v>70</v>
      </c>
      <c r="C23">
        <v>1803.5086241612089</v>
      </c>
      <c r="D23">
        <v>1594.203406228075</v>
      </c>
      <c r="E23">
        <v>12.09785958021593</v>
      </c>
      <c r="F23">
        <v>15112.2866514326</v>
      </c>
      <c r="G23">
        <v>15591.8512457134</v>
      </c>
      <c r="H23">
        <v>10336.4704089186</v>
      </c>
      <c r="I23">
        <v>14876.762867151399</v>
      </c>
      <c r="J23">
        <v>14314.5984064687</v>
      </c>
      <c r="K23">
        <v>20632.4815626948</v>
      </c>
      <c r="L23">
        <v>16143.6383180333</v>
      </c>
    </row>
    <row r="24" spans="1:12" x14ac:dyDescent="0.25">
      <c r="A24" t="s">
        <v>43</v>
      </c>
      <c r="B24" t="s">
        <v>70</v>
      </c>
      <c r="C24">
        <v>413.77297112294929</v>
      </c>
      <c r="D24">
        <v>344.0572537128952</v>
      </c>
      <c r="E24">
        <v>15.520305822115681</v>
      </c>
      <c r="F24">
        <v>3859.7026418333098</v>
      </c>
      <c r="G24">
        <v>3025.5937917443698</v>
      </c>
      <c r="H24">
        <v>2359.9543787941502</v>
      </c>
      <c r="I24">
        <v>3726.8789716073202</v>
      </c>
      <c r="J24">
        <v>2723.5092371287401</v>
      </c>
      <c r="K24">
        <v>1955.8328830281901</v>
      </c>
      <c r="L24">
        <v>3270.5586388714401</v>
      </c>
    </row>
    <row r="25" spans="1:12" x14ac:dyDescent="0.25">
      <c r="A25" t="s">
        <v>45</v>
      </c>
      <c r="B25" t="s">
        <v>69</v>
      </c>
      <c r="C25">
        <v>4859.4520307269286</v>
      </c>
      <c r="D25">
        <v>3256.7787388392858</v>
      </c>
      <c r="E25">
        <v>87.592545436143226</v>
      </c>
      <c r="F25">
        <v>12768.94921875</v>
      </c>
      <c r="G25">
        <v>13684.830078125</v>
      </c>
      <c r="H25">
        <v>13624.8984375</v>
      </c>
      <c r="I25">
        <v>11851.2275390625</v>
      </c>
      <c r="J25">
        <v>13746.0263671875</v>
      </c>
      <c r="K25">
        <v>9526.2001953125</v>
      </c>
      <c r="L25">
        <v>9994.6669921875</v>
      </c>
    </row>
    <row r="26" spans="1:12" x14ac:dyDescent="0.25">
      <c r="A26" t="s">
        <v>47</v>
      </c>
      <c r="B26" t="s">
        <v>72</v>
      </c>
      <c r="C26">
        <v>1147.680891437785</v>
      </c>
      <c r="D26">
        <v>1014.285714285714</v>
      </c>
      <c r="E26">
        <v>153.9473684210526</v>
      </c>
      <c r="F26">
        <v>1180</v>
      </c>
      <c r="G26">
        <v>1600</v>
      </c>
      <c r="H26">
        <v>200</v>
      </c>
      <c r="I26">
        <v>380</v>
      </c>
      <c r="J26">
        <v>540</v>
      </c>
      <c r="K26">
        <v>1420</v>
      </c>
      <c r="L26">
        <v>980</v>
      </c>
    </row>
    <row r="27" spans="1:12" x14ac:dyDescent="0.25">
      <c r="A27" t="s">
        <v>49</v>
      </c>
      <c r="B27" t="s">
        <v>70</v>
      </c>
      <c r="C27">
        <v>976.38715511113332</v>
      </c>
      <c r="D27">
        <v>688.31737578272475</v>
      </c>
      <c r="E27">
        <v>80.254091437783131</v>
      </c>
      <c r="F27">
        <v>2288.59599598356</v>
      </c>
      <c r="G27">
        <v>1152.34382239141</v>
      </c>
      <c r="H27">
        <v>607.19642598683299</v>
      </c>
      <c r="I27">
        <v>1050.6145643191801</v>
      </c>
      <c r="J27">
        <v>1596.31690026196</v>
      </c>
      <c r="K27">
        <v>2696.7705967614502</v>
      </c>
      <c r="L27">
        <v>492.30009819586002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4B7B712-0663-4450-9B8E-AD499730FFA8}">
  <ds:schemaRefs/>
</ds:datastoreItem>
</file>

<file path=customXml/itemProps2.xml><?xml version="1.0" encoding="utf-8"?>
<ds:datastoreItem xmlns:ds="http://schemas.openxmlformats.org/officeDocument/2006/customXml" ds:itemID="{334C172A-8370-4F76-A6E0-D7E0C18D512D}">
  <ds:schemaRefs/>
</ds:datastoreItem>
</file>

<file path=customXml/itemProps3.xml><?xml version="1.0" encoding="utf-8"?>
<ds:datastoreItem xmlns:ds="http://schemas.openxmlformats.org/officeDocument/2006/customXml" ds:itemID="{FE7CC479-DC22-4634-BA16-32D9A1755A64}">
  <ds:schemaRefs/>
</ds:datastoreItem>
</file>

<file path=customXml/itemProps4.xml><?xml version="1.0" encoding="utf-8"?>
<ds:datastoreItem xmlns:ds="http://schemas.openxmlformats.org/officeDocument/2006/customXml" ds:itemID="{74657136-4BA3-45B5-9F5D-A7236D053D03}">
  <ds:schemaRefs/>
</ds:datastoreItem>
</file>

<file path=customXml/itemProps5.xml><?xml version="1.0" encoding="utf-8"?>
<ds:datastoreItem xmlns:ds="http://schemas.openxmlformats.org/officeDocument/2006/customXml" ds:itemID="{83480261-0343-43FF-B522-5F95E5A49444}">
  <ds:schemaRefs/>
</ds:datastoreItem>
</file>

<file path=customXml/itemProps6.xml><?xml version="1.0" encoding="utf-8"?>
<ds:datastoreItem xmlns:ds="http://schemas.openxmlformats.org/officeDocument/2006/customXml" ds:itemID="{80F46845-9EE4-4C14-8CEE-B2C153F7D146}">
  <ds:schemaRefs/>
</ds:datastoreItem>
</file>

<file path=customXml/itemProps7.xml><?xml version="1.0" encoding="utf-8"?>
<ds:datastoreItem xmlns:ds="http://schemas.openxmlformats.org/officeDocument/2006/customXml" ds:itemID="{25C07120-F60F-41C5-8848-2712264D18C3}">
  <ds:schemaRefs/>
</ds:datastoreItem>
</file>

<file path=customXml/itemProps8.xml><?xml version="1.0" encoding="utf-8"?>
<ds:datastoreItem xmlns:ds="http://schemas.openxmlformats.org/officeDocument/2006/customXml" ds:itemID="{F7637ACF-3239-4DCD-830B-C29E56C08056}">
  <ds:schemaRefs/>
</ds:datastoreItem>
</file>

<file path=customXml/itemProps9.xml><?xml version="1.0" encoding="utf-8"?>
<ds:datastoreItem xmlns:ds="http://schemas.openxmlformats.org/officeDocument/2006/customXml" ds:itemID="{DDE7201D-CBEE-4941-847E-5E09DFE55219}">
  <ds:schemaRefs/>
</ds:datastoreItem>
</file>

<file path=customXml/itemProps10.xml><?xml version="1.0" encoding="utf-8"?>
<ds:datastoreItem xmlns:ds="http://schemas.openxmlformats.org/officeDocument/2006/customXml" ds:itemID="{28F2A2D0-508C-4007-AA7B-BA973307D253}">
  <ds:schemaRefs/>
</ds:datastoreItem>
</file>

<file path=customXml/itemProps11.xml><?xml version="1.0" encoding="utf-8"?>
<ds:datastoreItem xmlns:ds="http://schemas.openxmlformats.org/officeDocument/2006/customXml" ds:itemID="{F73359B8-CC6E-41EF-8FD7-6E7DC6F3C30F}">
  <ds:schemaRefs/>
</ds:datastoreItem>
</file>

<file path=customXml/itemProps12.xml><?xml version="1.0" encoding="utf-8"?>
<ds:datastoreItem xmlns:ds="http://schemas.openxmlformats.org/officeDocument/2006/customXml" ds:itemID="{CA0A201E-EB0B-482A-8729-0820DE0F1192}">
  <ds:schemaRefs/>
</ds:datastoreItem>
</file>

<file path=customXml/itemProps13.xml><?xml version="1.0" encoding="utf-8"?>
<ds:datastoreItem xmlns:ds="http://schemas.openxmlformats.org/officeDocument/2006/customXml" ds:itemID="{38397E51-AF97-4CD6-92A2-2F8D069D3E08}">
  <ds:schemaRefs/>
</ds:datastoreItem>
</file>

<file path=customXml/itemProps14.xml><?xml version="1.0" encoding="utf-8"?>
<ds:datastoreItem xmlns:ds="http://schemas.openxmlformats.org/officeDocument/2006/customXml" ds:itemID="{C86FEBF5-687A-4C07-878A-3329454F5B1C}">
  <ds:schemaRefs/>
</ds:datastoreItem>
</file>

<file path=customXml/itemProps15.xml><?xml version="1.0" encoding="utf-8"?>
<ds:datastoreItem xmlns:ds="http://schemas.openxmlformats.org/officeDocument/2006/customXml" ds:itemID="{D33C3EF4-C9A0-4670-B44D-15BC7E8A9EED}">
  <ds:schemaRefs/>
</ds:datastoreItem>
</file>

<file path=customXml/itemProps16.xml><?xml version="1.0" encoding="utf-8"?>
<ds:datastoreItem xmlns:ds="http://schemas.openxmlformats.org/officeDocument/2006/customXml" ds:itemID="{806BDB6F-4839-4D55-8540-1C04BFD24F9B}">
  <ds:schemaRefs/>
</ds:datastoreItem>
</file>

<file path=customXml/itemProps17.xml><?xml version="1.0" encoding="utf-8"?>
<ds:datastoreItem xmlns:ds="http://schemas.openxmlformats.org/officeDocument/2006/customXml" ds:itemID="{457BB523-C578-4C70-94A0-F6DDA996EAA7}">
  <ds:schemaRefs/>
</ds:datastoreItem>
</file>

<file path=customXml/itemProps18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transformed data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2025-06-25T00:35:12Z</dcterms:modified>
</cp:coreProperties>
</file>