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57315\Documents\ICESI\SEMESTRE_I\PROYECTO_DE_INNOVACION_TECNOLOGICA_I\PROYECTO_INNOVACION_TECNOLOGICA\"/>
    </mc:Choice>
  </mc:AlternateContent>
  <xr:revisionPtr revIDLastSave="0" documentId="13_ncr:1_{9C80AA39-0D6C-4B45-A607-3929770AAB90}" xr6:coauthVersionLast="47" xr6:coauthVersionMax="47" xr10:uidLastSave="{00000000-0000-0000-0000-000000000000}"/>
  <bookViews>
    <workbookView xWindow="-120" yWindow="-120" windowWidth="20730" windowHeight="11040" xr2:uid="{E5658DFA-635C-4AD7-BC6C-8D92FFF90877}"/>
  </bookViews>
  <sheets>
    <sheet name="pivot table" sheetId="3" r:id="rId1"/>
    <sheet name="transformed data" sheetId="1" r:id="rId2"/>
    <sheet name="raw data" sheetId="2" r:id="rId3"/>
  </sheets>
  <definedNames>
    <definedName name="_xlnm._FilterDatabase" localSheetId="1" hidden="1">'transformed data'!$A$2:$O$54</definedName>
    <definedName name="SegmentaciónDeDatos_SKU">#N/A</definedName>
  </definedNames>
  <calcPr calcId="191029"/>
  <pivotCaches>
    <pivotCache cacheId="67" r:id="rId4"/>
  </pivotCaches>
  <extLst>
    <ext xmlns:x14="http://schemas.microsoft.com/office/spreadsheetml/2009/9/main" uri="{876F7934-8845-4945-9796-88D515C7AA90}">
      <x14:pivotCaches>
        <pivotCache cacheId="1" r:id="rId5"/>
      </x14:pivotCaches>
    </ex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a1_1dd60aef-bd07-462e-836c-57ec6f286629" name="Tabla1" connection="Consulta - Tabla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  <c r="O6" i="1"/>
  <c r="O8" i="1"/>
  <c r="O10" i="1"/>
  <c r="O12" i="1"/>
  <c r="O14" i="1"/>
  <c r="O16" i="1"/>
  <c r="O18" i="1"/>
  <c r="O20" i="1"/>
  <c r="O22" i="1"/>
  <c r="O24" i="1"/>
  <c r="O26" i="1"/>
  <c r="O28" i="1"/>
  <c r="O30" i="1"/>
  <c r="O32" i="1"/>
  <c r="O34" i="1"/>
  <c r="O36" i="1"/>
  <c r="O38" i="1"/>
  <c r="O40" i="1"/>
  <c r="O42" i="1"/>
  <c r="O44" i="1"/>
  <c r="O46" i="1"/>
  <c r="O48" i="1"/>
  <c r="O50" i="1"/>
  <c r="O52" i="1"/>
  <c r="O54" i="1"/>
  <c r="N53" i="1"/>
  <c r="M53" i="1"/>
  <c r="L53" i="1"/>
  <c r="K53" i="1"/>
  <c r="J53" i="1"/>
  <c r="I53" i="1"/>
  <c r="H53" i="1"/>
  <c r="N51" i="1"/>
  <c r="M51" i="1"/>
  <c r="L51" i="1"/>
  <c r="K51" i="1"/>
  <c r="J51" i="1"/>
  <c r="I51" i="1"/>
  <c r="H51" i="1"/>
  <c r="O51" i="1" s="1"/>
  <c r="N49" i="1"/>
  <c r="M49" i="1"/>
  <c r="L49" i="1"/>
  <c r="K49" i="1"/>
  <c r="J49" i="1"/>
  <c r="I49" i="1"/>
  <c r="H49" i="1"/>
  <c r="O49" i="1" s="1"/>
  <c r="N47" i="1"/>
  <c r="M47" i="1"/>
  <c r="L47" i="1"/>
  <c r="K47" i="1"/>
  <c r="J47" i="1"/>
  <c r="I47" i="1"/>
  <c r="H47" i="1"/>
  <c r="N45" i="1"/>
  <c r="M45" i="1"/>
  <c r="L45" i="1"/>
  <c r="K45" i="1"/>
  <c r="J45" i="1"/>
  <c r="I45" i="1"/>
  <c r="H45" i="1"/>
  <c r="N43" i="1"/>
  <c r="M43" i="1"/>
  <c r="L43" i="1"/>
  <c r="K43" i="1"/>
  <c r="J43" i="1"/>
  <c r="I43" i="1"/>
  <c r="H43" i="1"/>
  <c r="N41" i="1"/>
  <c r="M41" i="1"/>
  <c r="L41" i="1"/>
  <c r="K41" i="1"/>
  <c r="J41" i="1"/>
  <c r="I41" i="1"/>
  <c r="H41" i="1"/>
  <c r="N39" i="1"/>
  <c r="M39" i="1"/>
  <c r="L39" i="1"/>
  <c r="K39" i="1"/>
  <c r="J39" i="1"/>
  <c r="I39" i="1"/>
  <c r="H39" i="1"/>
  <c r="N37" i="1"/>
  <c r="M37" i="1"/>
  <c r="L37" i="1"/>
  <c r="K37" i="1"/>
  <c r="J37" i="1"/>
  <c r="I37" i="1"/>
  <c r="H37" i="1"/>
  <c r="N35" i="1"/>
  <c r="M35" i="1"/>
  <c r="L35" i="1"/>
  <c r="K35" i="1"/>
  <c r="J35" i="1"/>
  <c r="I35" i="1"/>
  <c r="H35" i="1"/>
  <c r="N33" i="1"/>
  <c r="M33" i="1"/>
  <c r="L33" i="1"/>
  <c r="K33" i="1"/>
  <c r="J33" i="1"/>
  <c r="I33" i="1"/>
  <c r="H33" i="1"/>
  <c r="N31" i="1"/>
  <c r="M31" i="1"/>
  <c r="L31" i="1"/>
  <c r="K31" i="1"/>
  <c r="J31" i="1"/>
  <c r="I31" i="1"/>
  <c r="H31" i="1"/>
  <c r="N29" i="1"/>
  <c r="M29" i="1"/>
  <c r="L29" i="1"/>
  <c r="K29" i="1"/>
  <c r="J29" i="1"/>
  <c r="I29" i="1"/>
  <c r="H29" i="1"/>
  <c r="N27" i="1"/>
  <c r="M27" i="1"/>
  <c r="L27" i="1"/>
  <c r="K27" i="1"/>
  <c r="J27" i="1"/>
  <c r="I27" i="1"/>
  <c r="H27" i="1"/>
  <c r="N25" i="1"/>
  <c r="M25" i="1"/>
  <c r="L25" i="1"/>
  <c r="K25" i="1"/>
  <c r="J25" i="1"/>
  <c r="I25" i="1"/>
  <c r="H25" i="1"/>
  <c r="N23" i="1"/>
  <c r="M23" i="1"/>
  <c r="L23" i="1"/>
  <c r="K23" i="1"/>
  <c r="J23" i="1"/>
  <c r="I23" i="1"/>
  <c r="H23" i="1"/>
  <c r="N21" i="1"/>
  <c r="M21" i="1"/>
  <c r="L21" i="1"/>
  <c r="K21" i="1"/>
  <c r="J21" i="1"/>
  <c r="I21" i="1"/>
  <c r="H21" i="1"/>
  <c r="N19" i="1"/>
  <c r="M19" i="1"/>
  <c r="L19" i="1"/>
  <c r="K19" i="1"/>
  <c r="J19" i="1"/>
  <c r="I19" i="1"/>
  <c r="H19" i="1"/>
  <c r="O19" i="1" s="1"/>
  <c r="N17" i="1"/>
  <c r="M17" i="1"/>
  <c r="L17" i="1"/>
  <c r="K17" i="1"/>
  <c r="J17" i="1"/>
  <c r="I17" i="1"/>
  <c r="H17" i="1"/>
  <c r="O17" i="1" s="1"/>
  <c r="N15" i="1"/>
  <c r="M15" i="1"/>
  <c r="L15" i="1"/>
  <c r="K15" i="1"/>
  <c r="J15" i="1"/>
  <c r="I15" i="1"/>
  <c r="H15" i="1"/>
  <c r="N13" i="1"/>
  <c r="M13" i="1"/>
  <c r="L13" i="1"/>
  <c r="K13" i="1"/>
  <c r="J13" i="1"/>
  <c r="I13" i="1"/>
  <c r="H13" i="1"/>
  <c r="N11" i="1"/>
  <c r="M11" i="1"/>
  <c r="L11" i="1"/>
  <c r="K11" i="1"/>
  <c r="J11" i="1"/>
  <c r="I11" i="1"/>
  <c r="H11" i="1"/>
  <c r="N9" i="1"/>
  <c r="M9" i="1"/>
  <c r="L9" i="1"/>
  <c r="K9" i="1"/>
  <c r="J9" i="1"/>
  <c r="I9" i="1"/>
  <c r="H9" i="1"/>
  <c r="N7" i="1"/>
  <c r="M7" i="1"/>
  <c r="L7" i="1"/>
  <c r="K7" i="1"/>
  <c r="J7" i="1"/>
  <c r="I7" i="1"/>
  <c r="H7" i="1"/>
  <c r="N5" i="1"/>
  <c r="M5" i="1"/>
  <c r="L5" i="1"/>
  <c r="K5" i="1"/>
  <c r="J5" i="1"/>
  <c r="I5" i="1"/>
  <c r="H5" i="1"/>
  <c r="I3" i="1"/>
  <c r="J3" i="1"/>
  <c r="K3" i="1"/>
  <c r="L3" i="1"/>
  <c r="M3" i="1"/>
  <c r="N3" i="1"/>
  <c r="H3" i="1"/>
  <c r="O3" i="1" s="1"/>
  <c r="O33" i="1" l="1"/>
  <c r="O15" i="1"/>
  <c r="O31" i="1"/>
  <c r="O47" i="1"/>
  <c r="O13" i="1"/>
  <c r="O29" i="1"/>
  <c r="O45" i="1"/>
  <c r="O25" i="1"/>
  <c r="O41" i="1"/>
  <c r="O9" i="1"/>
  <c r="O39" i="1"/>
  <c r="O35" i="1"/>
  <c r="O11" i="1"/>
  <c r="O27" i="1"/>
  <c r="O43" i="1"/>
  <c r="O7" i="1"/>
  <c r="O23" i="1"/>
  <c r="O5" i="1"/>
  <c r="O21" i="1"/>
  <c r="O37" i="1"/>
  <c r="O5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D08ED5-D496-4150-BA70-18DAB1116B94}" name="Consulta - Tabla1" description="Conexión a la consulta 'Tabla1' en el libro." type="100" refreshedVersion="8" minRefreshableVersion="5">
    <extLst>
      <ext xmlns:x15="http://schemas.microsoft.com/office/spreadsheetml/2010/11/main" uri="{DE250136-89BD-433C-8126-D09CA5730AF9}">
        <x15:connection id="ecd48288-7f16-4203-8e5d-35c376da801a"/>
      </ext>
    </extLst>
  </connection>
  <connection id="2" xr16:uid="{3B27E90F-B4A4-4C90-98AC-B0392E88A7DA}" keepAlive="1" name="ThisWorkbookDataModel" description="Modelo de datos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<sst xmlns="http://schemas.openxmlformats.org/spreadsheetml/2006/main" count="236" uniqueCount="72">
  <si>
    <t>SKU</t>
  </si>
  <si>
    <t>Best_Model</t>
  </si>
  <si>
    <t>MAE</t>
  </si>
  <si>
    <t>RMSE</t>
  </si>
  <si>
    <t>MAPE</t>
  </si>
  <si>
    <t>Forecast</t>
  </si>
  <si>
    <t>SKU1</t>
  </si>
  <si>
    <t>HW-add-add-a0.2-b0.8-g0.2</t>
  </si>
  <si>
    <t>SKU10</t>
  </si>
  <si>
    <t>(5, 0, 3)</t>
  </si>
  <si>
    <t>SKU11</t>
  </si>
  <si>
    <t>HW-None-add-a0.8-b0.2-g0.2</t>
  </si>
  <si>
    <t>SKU12</t>
  </si>
  <si>
    <t>HW-add-add-a0.6-b0.6-g0.2</t>
  </si>
  <si>
    <t>SKU13</t>
  </si>
  <si>
    <t>HW-None-add-a0.2-b0.2-g0.2</t>
  </si>
  <si>
    <t>SKU14</t>
  </si>
  <si>
    <t>(0, 1, 1)</t>
  </si>
  <si>
    <t>SKU15</t>
  </si>
  <si>
    <t>HW-add-None-a0.8-b0.6-g0.2</t>
  </si>
  <si>
    <t>SKU16</t>
  </si>
  <si>
    <t>SKU17</t>
  </si>
  <si>
    <t>HW-None-add-a0.6-b0.2-g0.8</t>
  </si>
  <si>
    <t>SKU18</t>
  </si>
  <si>
    <t>HW-add-add-a0.8-b0.4-g0.2</t>
  </si>
  <si>
    <t>SKU19</t>
  </si>
  <si>
    <t>(4, 0, 1)</t>
  </si>
  <si>
    <t>SKU2</t>
  </si>
  <si>
    <t>SKU20</t>
  </si>
  <si>
    <t>SKU21</t>
  </si>
  <si>
    <t>SKU22</t>
  </si>
  <si>
    <t>HW-add-add-a0.2-b0.2-g0.2</t>
  </si>
  <si>
    <t>SKU23</t>
  </si>
  <si>
    <t>SKU24</t>
  </si>
  <si>
    <t>HW-add-add-a0.8-b0.2-g0.2</t>
  </si>
  <si>
    <t>SKU25</t>
  </si>
  <si>
    <t>HW-None-None-a0.4-b0.2-g0.2</t>
  </si>
  <si>
    <t>SKU26</t>
  </si>
  <si>
    <t>SKU3</t>
  </si>
  <si>
    <t>HW-None-mul-a0.2-b0.2-g0.2</t>
  </si>
  <si>
    <t>SKU4</t>
  </si>
  <si>
    <t>SKU5</t>
  </si>
  <si>
    <t>HW-None-add-a0.2-b0.2-g0.4</t>
  </si>
  <si>
    <t>SKU6</t>
  </si>
  <si>
    <t>HW-add-add-a0.4-b0.2-g0.6</t>
  </si>
  <si>
    <t>SKU7</t>
  </si>
  <si>
    <t>HW-mul-mul-a0.4-b0.4-g0.6</t>
  </si>
  <si>
    <t>SKU8</t>
  </si>
  <si>
    <t>(5, 1, 2)</t>
  </si>
  <si>
    <t>SKU9</t>
  </si>
  <si>
    <t>HW-add-add-a0.4-b0.2-g0.2</t>
  </si>
  <si>
    <t>WD1</t>
  </si>
  <si>
    <t>WD2</t>
  </si>
  <si>
    <t>WD3</t>
  </si>
  <si>
    <t>WD4</t>
  </si>
  <si>
    <t>WD5</t>
  </si>
  <si>
    <t>WD6</t>
  </si>
  <si>
    <t>WD7</t>
  </si>
  <si>
    <t>#</t>
  </si>
  <si>
    <t>Group</t>
  </si>
  <si>
    <t>Pedidos</t>
  </si>
  <si>
    <t>HW-add-add-a0.8-b0.2-g0.8</t>
  </si>
  <si>
    <t>HW-add-add-a0.4-b0.8-g0.4</t>
  </si>
  <si>
    <t xml:space="preserve"> </t>
  </si>
  <si>
    <t>Total</t>
  </si>
  <si>
    <t>Total general</t>
  </si>
  <si>
    <t>WMAPE</t>
  </si>
  <si>
    <t>Forecast (Und)</t>
  </si>
  <si>
    <t>Pedidos (Und)</t>
  </si>
  <si>
    <t>Producto</t>
  </si>
  <si>
    <t>Bias %</t>
  </si>
  <si>
    <t>MAPE 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</si>
</sst>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3"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26" Type="http://schemas.openxmlformats.org/officeDocument/2006/relationships/customXml" Target="../customXml/item14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9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17" Type="http://schemas.openxmlformats.org/officeDocument/2006/relationships/customXml" Target="../customXml/item5.xml"/><Relationship Id="rId25" Type="http://schemas.openxmlformats.org/officeDocument/2006/relationships/customXml" Target="../customXml/item1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20" Type="http://schemas.openxmlformats.org/officeDocument/2006/relationships/customXml" Target="../customXml/item8.xml"/><Relationship Id="rId29" Type="http://schemas.openxmlformats.org/officeDocument/2006/relationships/customXml" Target="../customXml/item17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2.xml"/><Relationship Id="rId5" Type="http://schemas.openxmlformats.org/officeDocument/2006/relationships/pivotCacheDefinition" Target="pivotCache/pivotCacheDefinition2.xml"/><Relationship Id="rId15" Type="http://schemas.openxmlformats.org/officeDocument/2006/relationships/customXml" Target="../customXml/item3.xml"/><Relationship Id="rId23" Type="http://schemas.openxmlformats.org/officeDocument/2006/relationships/customXml" Target="../customXml/item11.xml"/><Relationship Id="rId28" Type="http://schemas.openxmlformats.org/officeDocument/2006/relationships/customXml" Target="../customXml/item16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7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Relationship Id="rId14" Type="http://schemas.openxmlformats.org/officeDocument/2006/relationships/customXml" Target="../customXml/item2.xml"/><Relationship Id="rId22" Type="http://schemas.openxmlformats.org/officeDocument/2006/relationships/customXml" Target="../customXml/item10.xml"/><Relationship Id="rId27" Type="http://schemas.openxmlformats.org/officeDocument/2006/relationships/customXml" Target="../customXml/item15.xml"/><Relationship Id="rId30" Type="http://schemas.openxmlformats.org/officeDocument/2006/relationships/customXml" Target="../customXml/item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605330</xdr:colOff>
      <xdr:row>2</xdr:row>
      <xdr:rowOff>26276</xdr:rowOff>
    </xdr:from>
    <xdr:to>
      <xdr:col>10</xdr:col>
      <xdr:colOff>95579</xdr:colOff>
      <xdr:row>12</xdr:row>
      <xdr:rowOff>53866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SKU">
              <a:extLst>
                <a:ext uri="{FF2B5EF4-FFF2-40B4-BE49-F238E27FC236}">
                  <a16:creationId xmlns:a16="http://schemas.microsoft.com/office/drawing/2014/main" id="{5E169D0F-5263-DCBA-62FC-B048DC1B97B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KU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04313" y="407276"/>
              <a:ext cx="1828800" cy="19325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drés Felipe Cano Larrahondo" refreshedDate="45830.776426041666" createdVersion="5" refreshedVersion="8" minRefreshableVersion="3" recordCount="0" supportSubquery="1" supportAdvancedDrill="1" xr:uid="{C4CB9743-F4F7-4E3B-BA8D-6E96F57B95F5}">
  <cacheSource type="external" connectionId="2"/>
  <cacheFields count="7">
    <cacheField name="[Tabla1].[SKU].[SKU]" caption="SKU" numFmtId="0" level="1">
      <sharedItems count="26">
        <s v="SKU1"/>
        <s v="SKU10"/>
        <s v="SKU11"/>
        <s v="SKU12"/>
        <s v="SKU13"/>
        <s v="SKU14"/>
        <s v="SKU15"/>
        <s v="SKU16"/>
        <s v="SKU17"/>
        <s v="SKU18"/>
        <s v="SKU19"/>
        <s v="SKU2"/>
        <s v="SKU20"/>
        <s v="SKU21"/>
        <s v="SKU22"/>
        <s v="SKU23"/>
        <s v="SKU24"/>
        <s v="SKU25"/>
        <s v="SKU26"/>
        <s v="SKU3"/>
        <s v="SKU4"/>
        <s v="SKU5"/>
        <s v="SKU6"/>
        <s v="SKU7"/>
        <s v="SKU8"/>
        <s v="SKU9"/>
      </sharedItems>
    </cacheField>
    <cacheField name="[Tabla1].[Atributo].[Atributo]" caption="Atributo" numFmtId="0" hierarchy="1" level="1">
      <sharedItems count="7">
        <s v="WD1"/>
        <s v="WD2"/>
        <s v="WD3"/>
        <s v="WD4"/>
        <s v="WD5"/>
        <s v="WD6"/>
        <s v="WD7"/>
      </sharedItems>
    </cacheField>
    <cacheField name="[Measures].[Suma de Forecast]" caption="Suma de Forecast" numFmtId="0" hierarchy="4" level="32767"/>
    <cacheField name="[Measures].[Suma de Pedidos]" caption="Suma de Pedidos" numFmtId="0" hierarchy="5" level="32767"/>
    <cacheField name="[Measures].[WMAPE]" caption="WMAPE" numFmtId="0" hierarchy="6" level="32767"/>
    <cacheField name="[Measures].[Bias %]" caption="Bias %" numFmtId="0" hierarchy="8" level="32767"/>
    <cacheField name="[Measures].[MAPE Total %]" caption="MAPE Total %" numFmtId="0" hierarchy="9" level="32767"/>
  </cacheFields>
  <cacheHierarchies count="12">
    <cacheHierarchy uniqueName="[Tabla1].[SKU]" caption="SKU" attribute="1" defaultMemberUniqueName="[Tabla1].[SKU].[All]" allUniqueName="[Tabla1].[SKU].[All]" dimensionUniqueName="[Tabla1]" displayFolder="" count="2" memberValueDatatype="130" unbalanced="0">
      <fieldsUsage count="2">
        <fieldUsage x="-1"/>
        <fieldUsage x="0"/>
      </fieldsUsage>
    </cacheHierarchy>
    <cacheHierarchy uniqueName="[Tabla1].[Atributo]" caption="Atributo" attribute="1" defaultMemberUniqueName="[Tabla1].[Atributo].[All]" allUniqueName="[Tabla1].[Atributo].[All]" dimensionUniqueName="[Tabla1]" displayFolder="" count="2" memberValueDatatype="130" unbalanced="0">
      <fieldsUsage count="2">
        <fieldUsage x="-1"/>
        <fieldUsage x="1"/>
      </fieldsUsage>
    </cacheHierarchy>
    <cacheHierarchy uniqueName="[Tabla1].[Forecast]" caption="Forecast" attribute="1" defaultMemberUniqueName="[Tabla1].[Forecast].[All]" allUniqueName="[Tabla1].[Forecast].[All]" dimensionUniqueName="[Tabla1]" displayFolder="" count="2" memberValueDatatype="5" unbalanced="0"/>
    <cacheHierarchy uniqueName="[Tabla1].[Pedidos]" caption="Pedidos" attribute="1" defaultMemberUniqueName="[Tabla1].[Pedidos].[All]" allUniqueName="[Tabla1].[Pedidos].[All]" dimensionUniqueName="[Tabla1]" displayFolder="" count="2" memberValueDatatype="5" unbalanced="0"/>
    <cacheHierarchy uniqueName="[Measures].[Suma de Forecast]" caption="Suma de Forecast" measure="1" displayFolder="" measureGroup="Tabla1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Pedidos]" caption="Suma de Pedidos" measure="1" displayFolder="" measureGroup="Tabla1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WMAPE]" caption="WMAPE" measure="1" displayFolder="" measureGroup="Tabla1" count="0" oneField="1">
      <fieldsUsage count="1">
        <fieldUsage x="4"/>
      </fieldsUsage>
    </cacheHierarchy>
    <cacheHierarchy uniqueName="[Measures].[ERROR ABS]" caption="ERROR ABS" measure="1" displayFolder="" measureGroup="Tabla1" count="0"/>
    <cacheHierarchy uniqueName="[Measures].[Bias %]" caption="Bias %" measure="1" displayFolder="" measureGroup="Tabla1" count="0" oneField="1">
      <fieldsUsage count="1">
        <fieldUsage x="5"/>
      </fieldsUsage>
    </cacheHierarchy>
    <cacheHierarchy uniqueName="[Measures].[MAPE Total %]" caption="MAPE Total %" measure="1" displayFolder="" measureGroup="Tabla1" count="0" oneField="1">
      <fieldsUsage count="1">
        <fieldUsage x="6"/>
      </fieldsUsage>
    </cacheHierarchy>
    <cacheHierarchy uniqueName="[Measures].[__XL_Count Tabla1]" caption="__XL_Count Tabla1" measure="1" displayFolder="" measureGroup="Tabla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Tabla1" uniqueName="[Tabla1]" caption="Tabla1"/>
  </dimensions>
  <measureGroups count="1">
    <measureGroup name="Tabla1" caption="Tabla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drés Felipe Cano Larrahondo" refreshedDate="45830.765120833334" createdVersion="3" refreshedVersion="8" minRefreshableVersion="3" recordCount="0" supportSubquery="1" supportAdvancedDrill="1" xr:uid="{15626970-C888-498B-B34A-A7B4417FEA7A}">
  <cacheSource type="external" connectionId="2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12">
    <cacheHierarchy uniqueName="[Tabla1].[SKU]" caption="SKU" attribute="1" defaultMemberUniqueName="[Tabla1].[SKU].[All]" allUniqueName="[Tabla1].[SKU].[All]" dimensionUniqueName="[Tabla1]" displayFolder="" count="2" memberValueDatatype="130" unbalanced="0"/>
    <cacheHierarchy uniqueName="[Tabla1].[Atributo]" caption="Atributo" attribute="1" defaultMemberUniqueName="[Tabla1].[Atributo].[All]" allUniqueName="[Tabla1].[Atributo].[All]" dimensionUniqueName="[Tabla1]" displayFolder="" count="0" memberValueDatatype="130" unbalanced="0"/>
    <cacheHierarchy uniqueName="[Tabla1].[Forecast]" caption="Forecast" attribute="1" defaultMemberUniqueName="[Tabla1].[Forecast].[All]" allUniqueName="[Tabla1].[Forecast].[All]" dimensionUniqueName="[Tabla1]" displayFolder="" count="0" memberValueDatatype="5" unbalanced="0"/>
    <cacheHierarchy uniqueName="[Tabla1].[Pedidos]" caption="Pedidos" attribute="1" defaultMemberUniqueName="[Tabla1].[Pedidos].[All]" allUniqueName="[Tabla1].[Pedidos].[All]" dimensionUniqueName="[Tabla1]" displayFolder="" count="0" memberValueDatatype="5" unbalanced="0"/>
    <cacheHierarchy uniqueName="[Measures].[Suma de Forecast]" caption="Suma de Forecast" measure="1" displayFolder="" measureGroup="Tabla1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Pedidos]" caption="Suma de Pedidos" measure="1" displayFolder="" measureGroup="Tabla1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WMAPE]" caption="WMAPE" measure="1" displayFolder="" measureGroup="Tabla1" count="0"/>
    <cacheHierarchy uniqueName="[Measures].[ERROR ABS]" caption="ERROR ABS" measure="1" displayFolder="" measureGroup="Tabla1" count="0"/>
    <cacheHierarchy uniqueName="[Measures].[Bias %]" caption="Bias %" measure="1" displayFolder="" measureGroup="Tabla1" count="0"/>
    <cacheHierarchy uniqueName="[Measures].[MAPE Total %]" caption="MAPE Total %" measure="1" displayFolder="" measureGroup="Tabla1" count="0"/>
    <cacheHierarchy uniqueName="[Measures].[__XL_Count Tabla1]" caption="__XL_Count Tabla1" measure="1" displayFolder="" measureGroup="Tabla1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404860957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EE8157-E61C-4CDE-8DD8-9DF7CACD2D50}" name="TablaDinámica1" cacheId="67" applyNumberFormats="0" applyBorderFormats="0" applyFontFormats="0" applyPatternFormats="0" applyAlignmentFormats="0" applyWidthHeightFormats="1" dataCaption="Valores" tag="06b31c9a-f5b4-42d2-8113-81d4c4a2c663" updatedVersion="8" minRefreshableVersion="3" useAutoFormatting="1" itemPrintTitles="1" createdVersion="5" indent="0" outline="1" outlineData="1" multipleFieldFilters="0" rowHeaderCaption="Producto">
  <location ref="B3:G30" firstHeaderRow="0" firstDataRow="1" firstDataCol="1"/>
  <pivotFields count="7">
    <pivotField axis="axisRow" allDrilled="1" subtotalTop="0" showAll="0" dataSourceSort="1" defaultSubtotal="0">
      <items count="26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  <item x="13" e="0"/>
        <item x="14" e="0"/>
        <item x="15" e="0"/>
        <item x="16" e="0"/>
        <item x="17" e="0"/>
        <item x="18" e="0"/>
        <item x="19" e="0"/>
        <item x="20" e="0"/>
        <item x="21" e="0"/>
        <item x="22" e="0"/>
        <item x="23" e="0"/>
        <item x="24" e="0"/>
        <item x="25" e="0"/>
      </items>
    </pivotField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2">
    <field x="0"/>
    <field x="1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Forecast (Und)" fld="2" baseField="0" baseItem="0" numFmtId="3"/>
    <dataField name="Pedidos (Und)" fld="3" baseField="0" baseItem="0" numFmtId="3"/>
    <dataField fld="4" subtotal="count" baseField="0" baseItem="0" numFmtId="9"/>
    <dataField name="MAPE  %" fld="6" subtotal="count" baseField="0" baseItem="0" numFmtId="9"/>
    <dataField fld="5" subtotal="count" baseField="0" baseItem="2" numFmtId="9"/>
  </dataFields>
  <formats count="1">
    <format dxfId="2">
      <pivotArea dataOnly="0" labelOnly="1" outline="0" fieldPosition="0">
        <references count="1">
          <reference field="4294967294" count="1">
            <x v="3"/>
          </reference>
        </references>
      </pivotArea>
    </format>
  </formats>
  <pivotHierarchies count="12">
    <pivotHierarchy multipleItemSelectionAllowed="1" dragToData="1"/>
    <pivotHierarchy dragToData="1"/>
    <pivotHierarchy dragToData="1"/>
    <pivotHierarchy dragToData="1"/>
    <pivotHierarchy dragToData="1" caption="Forecast (Und)"/>
    <pivotHierarchy dragToData="1" caption="Pedidos (Und)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MAPE  %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0"/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a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KU" xr10:uid="{635AABE1-0FD4-43E3-876D-0C1FCB132A40}" sourceName="[Tabla1].[SKU]">
  <pivotTables>
    <pivotTable tabId="3" name="TablaDinámica1"/>
  </pivotTables>
  <data>
    <olap pivotCacheId="404860957">
      <levels count="2">
        <level uniqueName="[Tabla1].[SKU].[(All)]" sourceCaption="(All)" count="0"/>
        <level uniqueName="[Tabla1].[SKU].[SKU]" sourceCaption="SKU" count="26">
          <ranges>
            <range startItem="0">
              <i n="[Tabla1].[SKU].&amp;[SKU1]" c="SKU1"/>
              <i n="[Tabla1].[SKU].&amp;[SKU10]" c="SKU10"/>
              <i n="[Tabla1].[SKU].&amp;[SKU11]" c="SKU11"/>
              <i n="[Tabla1].[SKU].&amp;[SKU12]" c="SKU12"/>
              <i n="[Tabla1].[SKU].&amp;[SKU13]" c="SKU13"/>
              <i n="[Tabla1].[SKU].&amp;[SKU14]" c="SKU14"/>
              <i n="[Tabla1].[SKU].&amp;[SKU15]" c="SKU15"/>
              <i n="[Tabla1].[SKU].&amp;[SKU16]" c="SKU16"/>
              <i n="[Tabla1].[SKU].&amp;[SKU17]" c="SKU17"/>
              <i n="[Tabla1].[SKU].&amp;[SKU18]" c="SKU18"/>
              <i n="[Tabla1].[SKU].&amp;[SKU19]" c="SKU19"/>
              <i n="[Tabla1].[SKU].&amp;[SKU2]" c="SKU2"/>
              <i n="[Tabla1].[SKU].&amp;[SKU20]" c="SKU20"/>
              <i n="[Tabla1].[SKU].&amp;[SKU21]" c="SKU21"/>
              <i n="[Tabla1].[SKU].&amp;[SKU22]" c="SKU22"/>
              <i n="[Tabla1].[SKU].&amp;[SKU23]" c="SKU23"/>
              <i n="[Tabla1].[SKU].&amp;[SKU24]" c="SKU24"/>
              <i n="[Tabla1].[SKU].&amp;[SKU25]" c="SKU25"/>
              <i n="[Tabla1].[SKU].&amp;[SKU26]" c="SKU26"/>
              <i n="[Tabla1].[SKU].&amp;[SKU3]" c="SKU3"/>
              <i n="[Tabla1].[SKU].&amp;[SKU4]" c="SKU4"/>
              <i n="[Tabla1].[SKU].&amp;[SKU5]" c="SKU5"/>
              <i n="[Tabla1].[SKU].&amp;[SKU6]" c="SKU6"/>
              <i n="[Tabla1].[SKU].&amp;[SKU7]" c="SKU7"/>
              <i n="[Tabla1].[SKU].&amp;[SKU8]" c="SKU8"/>
              <i n="[Tabla1].[SKU].&amp;[SKU9]" c="SKU9"/>
            </range>
          </ranges>
        </level>
      </levels>
      <selections count="1">
        <selection n="[Tabla1].[SKU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KU" xr10:uid="{29554780-B887-4A35-A799-16CDC9DD0DA0}" cache="SegmentaciónDeDatos_SKU" caption="SKU" startItem="21" level="1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59B4D9-5E5E-4472-A4D4-9E95C791EB05}" name="Tabla1" displayName="Tabla1" ref="A2:O54" totalsRowShown="0" headerRowDxfId="1">
  <autoFilter ref="A2:O54" xr:uid="{AC5160AC-1829-43F3-A27C-CA2B27D5BDDF}"/>
  <tableColumns count="15">
    <tableColumn id="1" xr3:uid="{C3CE245C-8581-4724-B40B-3A95F6007B37}" name="#" dataDxfId="0"/>
    <tableColumn id="2" xr3:uid="{7DD193C4-0C66-409B-B1FE-EC0B16866203}" name="SKU"/>
    <tableColumn id="3" xr3:uid="{53DBC638-9875-499F-8409-A366E675D50B}" name="Best_Model"/>
    <tableColumn id="4" xr3:uid="{82BB6392-089A-4CDA-A338-FF1C44444128}" name="MAE"/>
    <tableColumn id="5" xr3:uid="{F93D7E7E-6469-46A8-9BED-F2049554C93B}" name="RMSE"/>
    <tableColumn id="6" xr3:uid="{CDA05084-8D63-4DFA-A2A3-8D3490D37E63}" name="MAPE"/>
    <tableColumn id="7" xr3:uid="{AEE91CB8-B7DF-4EC9-8EE4-7B109338A2A6}" name="Group"/>
    <tableColumn id="8" xr3:uid="{6D367662-E5D6-44E7-88C0-BD3064CF0799}" name="WD1"/>
    <tableColumn id="9" xr3:uid="{0DDE0C4C-578D-40A2-B3AF-2CD895D09698}" name="WD2"/>
    <tableColumn id="10" xr3:uid="{C0284E4B-C0CE-4D62-9ADB-BBD623E77081}" name="WD3"/>
    <tableColumn id="11" xr3:uid="{97B54EBA-0B2D-44AF-BA47-40BA878FCC48}" name="WD4"/>
    <tableColumn id="12" xr3:uid="{CC35867F-18B3-4B9D-B95F-9A6C8A52617B}" name="WD5"/>
    <tableColumn id="13" xr3:uid="{1202276D-49C0-42C7-BFF1-7373625C59BF}" name="WD6"/>
    <tableColumn id="14" xr3:uid="{B57D56EA-F3A3-48E5-8B98-375C1A04FF83}" name="WD7"/>
    <tableColumn id="15" xr3:uid="{89F9FAF5-3BDE-4BEF-A12D-89B5094AE9C5}" name="Total">
      <calculatedColumnFormula>SUM(H3:N3)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75D9D-592A-4092-A381-98EB46D2643F}">
  <dimension ref="B3:G30"/>
  <sheetViews>
    <sheetView tabSelected="1" zoomScale="145" zoomScaleNormal="145" workbookViewId="0">
      <selection activeCell="F9" sqref="F9"/>
    </sheetView>
  </sheetViews>
  <sheetFormatPr baseColWidth="10" defaultRowHeight="15" x14ac:dyDescent="0.25"/>
  <cols>
    <col min="2" max="2" width="12.5703125" bestFit="1" customWidth="1"/>
    <col min="3" max="3" width="14.140625" bestFit="1" customWidth="1"/>
    <col min="4" max="4" width="13.7109375" bestFit="1" customWidth="1"/>
    <col min="5" max="5" width="7.85546875" bestFit="1" customWidth="1"/>
    <col min="6" max="6" width="8.42578125" bestFit="1" customWidth="1"/>
    <col min="7" max="7" width="6.7109375" bestFit="1" customWidth="1"/>
    <col min="8" max="8" width="12" bestFit="1" customWidth="1"/>
    <col min="9" max="9" width="11" bestFit="1" customWidth="1"/>
    <col min="10" max="26" width="12" bestFit="1" customWidth="1"/>
    <col min="27" max="27" width="11" bestFit="1" customWidth="1"/>
    <col min="28" max="37" width="12" bestFit="1" customWidth="1"/>
    <col min="38" max="38" width="11" bestFit="1" customWidth="1"/>
    <col min="39" max="39" width="12" bestFit="1" customWidth="1"/>
    <col min="40" max="40" width="11" bestFit="1" customWidth="1"/>
    <col min="41" max="50" width="12" bestFit="1" customWidth="1"/>
    <col min="51" max="51" width="11" bestFit="1" customWidth="1"/>
    <col min="52" max="58" width="12" bestFit="1" customWidth="1"/>
    <col min="59" max="60" width="11" bestFit="1" customWidth="1"/>
    <col min="61" max="63" width="12" bestFit="1" customWidth="1"/>
    <col min="64" max="64" width="11" bestFit="1" customWidth="1"/>
    <col min="65" max="75" width="12" bestFit="1" customWidth="1"/>
    <col min="76" max="76" width="11" bestFit="1" customWidth="1"/>
    <col min="77" max="82" width="12" bestFit="1" customWidth="1"/>
    <col min="83" max="83" width="10" bestFit="1" customWidth="1"/>
    <col min="84" max="100" width="12" bestFit="1" customWidth="1"/>
    <col min="101" max="101" width="11" bestFit="1" customWidth="1"/>
    <col min="102" max="104" width="12" bestFit="1" customWidth="1"/>
    <col min="105" max="105" width="11" bestFit="1" customWidth="1"/>
    <col min="106" max="124" width="12" bestFit="1" customWidth="1"/>
    <col min="125" max="126" width="11" bestFit="1" customWidth="1"/>
    <col min="127" max="133" width="12" bestFit="1" customWidth="1"/>
    <col min="134" max="134" width="11" bestFit="1" customWidth="1"/>
    <col min="135" max="137" width="12" bestFit="1" customWidth="1"/>
    <col min="138" max="139" width="11" bestFit="1" customWidth="1"/>
    <col min="140" max="154" width="12" bestFit="1" customWidth="1"/>
    <col min="155" max="155" width="11" bestFit="1" customWidth="1"/>
    <col min="156" max="156" width="12.5703125" bestFit="1" customWidth="1"/>
  </cols>
  <sheetData>
    <row r="3" spans="2:7" x14ac:dyDescent="0.25">
      <c r="B3" s="4" t="s">
        <v>69</v>
      </c>
      <c r="C3" t="s">
        <v>67</v>
      </c>
      <c r="D3" t="s">
        <v>68</v>
      </c>
      <c r="E3" t="s">
        <v>66</v>
      </c>
      <c r="F3" s="2" t="s">
        <v>71</v>
      </c>
      <c r="G3" t="s">
        <v>70</v>
      </c>
    </row>
    <row r="4" spans="2:7" x14ac:dyDescent="0.25">
      <c r="B4" s="5" t="s">
        <v>6</v>
      </c>
      <c r="C4" s="6">
        <v>122714.02601964326</v>
      </c>
      <c r="D4" s="6">
        <v>123900</v>
      </c>
      <c r="E4" s="7">
        <v>0.22179604723150012</v>
      </c>
      <c r="F4" s="7">
        <v>9.5720256687387845E-3</v>
      </c>
      <c r="G4" s="7">
        <v>7.3891272827305829E-2</v>
      </c>
    </row>
    <row r="5" spans="2:7" x14ac:dyDescent="0.25">
      <c r="B5" s="5" t="s">
        <v>8</v>
      </c>
      <c r="C5" s="6">
        <v>7242.8142304154335</v>
      </c>
      <c r="D5" s="6">
        <v>6600</v>
      </c>
      <c r="E5" s="7">
        <v>0.26602728879701726</v>
      </c>
      <c r="F5" s="7">
        <v>9.7396095517489928E-2</v>
      </c>
      <c r="G5" s="7">
        <v>0.26542119167555284</v>
      </c>
    </row>
    <row r="6" spans="2:7" x14ac:dyDescent="0.25">
      <c r="B6" s="5" t="s">
        <v>10</v>
      </c>
      <c r="C6" s="6">
        <v>6875.4435782106193</v>
      </c>
      <c r="D6" s="6">
        <v>7320</v>
      </c>
      <c r="E6" s="7">
        <v>0.2801084438764887</v>
      </c>
      <c r="F6" s="7">
        <v>6.0731751610571136E-2</v>
      </c>
      <c r="G6" s="7">
        <v>3.5646342089677222E-2</v>
      </c>
    </row>
    <row r="7" spans="2:7" x14ac:dyDescent="0.25">
      <c r="B7" s="5" t="s">
        <v>12</v>
      </c>
      <c r="C7" s="6">
        <v>4296.7154364527287</v>
      </c>
      <c r="D7" s="6">
        <v>4740</v>
      </c>
      <c r="E7" s="7">
        <v>0.46064403014235122</v>
      </c>
      <c r="F7" s="7">
        <v>9.3519950115458078E-2</v>
      </c>
      <c r="G7" s="7">
        <v>0.21443637059497267</v>
      </c>
    </row>
    <row r="8" spans="2:7" x14ac:dyDescent="0.25">
      <c r="B8" s="5" t="s">
        <v>14</v>
      </c>
      <c r="C8" s="6">
        <v>4166.717450548037</v>
      </c>
      <c r="D8" s="6">
        <v>3660</v>
      </c>
      <c r="E8" s="7">
        <v>0.3078786952419249</v>
      </c>
      <c r="F8" s="7">
        <v>0.13844739086011942</v>
      </c>
      <c r="G8" s="7">
        <v>0.41185596447579259</v>
      </c>
    </row>
    <row r="9" spans="2:7" x14ac:dyDescent="0.25">
      <c r="B9" s="5" t="s">
        <v>16</v>
      </c>
      <c r="C9" s="6">
        <v>15622.453160123106</v>
      </c>
      <c r="D9" s="6">
        <v>11880</v>
      </c>
      <c r="E9" s="7">
        <v>0.55347955123099235</v>
      </c>
      <c r="F9" s="7">
        <v>0.31502130977467224</v>
      </c>
      <c r="G9" s="7">
        <v>1.0356155843065846</v>
      </c>
    </row>
    <row r="10" spans="2:7" x14ac:dyDescent="0.25">
      <c r="B10" s="5" t="s">
        <v>18</v>
      </c>
      <c r="C10" s="6">
        <v>5008.7888644588711</v>
      </c>
      <c r="D10" s="6">
        <v>5040</v>
      </c>
      <c r="E10" s="7">
        <v>0.42945609794617756</v>
      </c>
      <c r="F10" s="7">
        <v>6.1926856232398606E-3</v>
      </c>
      <c r="G10" s="7">
        <v>0.24931942718661906</v>
      </c>
    </row>
    <row r="11" spans="2:7" x14ac:dyDescent="0.25">
      <c r="B11" s="5" t="s">
        <v>20</v>
      </c>
      <c r="C11" s="6">
        <v>24762.357852542151</v>
      </c>
      <c r="D11" s="6">
        <v>25050</v>
      </c>
      <c r="E11" s="7">
        <v>0.17311989351652338</v>
      </c>
      <c r="F11" s="7">
        <v>1.1482720457399171E-2</v>
      </c>
      <c r="G11" s="7">
        <v>2.8041240522087549E-2</v>
      </c>
    </row>
    <row r="12" spans="2:7" x14ac:dyDescent="0.25">
      <c r="B12" s="5" t="s">
        <v>21</v>
      </c>
      <c r="C12" s="6">
        <v>70194.86266993254</v>
      </c>
      <c r="D12" s="6">
        <v>64800</v>
      </c>
      <c r="E12" s="7">
        <v>0.25732444348229655</v>
      </c>
      <c r="F12" s="7">
        <v>8.3254053548341658E-2</v>
      </c>
      <c r="G12" s="7">
        <v>0.17376842127760334</v>
      </c>
    </row>
    <row r="13" spans="2:7" x14ac:dyDescent="0.25">
      <c r="B13" s="5" t="s">
        <v>23</v>
      </c>
      <c r="C13" s="6">
        <v>1092.13164644675</v>
      </c>
      <c r="D13" s="6">
        <v>3000</v>
      </c>
      <c r="E13" s="7">
        <v>0.6359561178510833</v>
      </c>
      <c r="F13" s="7">
        <v>0.6359561178510833</v>
      </c>
      <c r="G13" s="7">
        <v>-0.73232067489050245</v>
      </c>
    </row>
    <row r="14" spans="2:7" x14ac:dyDescent="0.25">
      <c r="B14" s="5" t="s">
        <v>25</v>
      </c>
      <c r="C14" s="6">
        <v>22039.023165167269</v>
      </c>
      <c r="D14" s="6">
        <v>19200</v>
      </c>
      <c r="E14" s="7">
        <v>0.56139858896150985</v>
      </c>
      <c r="F14" s="7">
        <v>0.14786578985246193</v>
      </c>
      <c r="G14" s="7">
        <v>0.64279354086095686</v>
      </c>
    </row>
    <row r="15" spans="2:7" x14ac:dyDescent="0.25">
      <c r="B15" s="5" t="s">
        <v>27</v>
      </c>
      <c r="C15" s="6">
        <v>30463.066997460341</v>
      </c>
      <c r="D15" s="6">
        <v>27450</v>
      </c>
      <c r="E15" s="7">
        <v>0.25224473167301636</v>
      </c>
      <c r="F15" s="7">
        <v>0.10976564653771732</v>
      </c>
      <c r="G15" s="7">
        <v>0.2363235537938686</v>
      </c>
    </row>
    <row r="16" spans="2:7" x14ac:dyDescent="0.25">
      <c r="B16" s="5" t="s">
        <v>28</v>
      </c>
      <c r="C16" s="6">
        <v>63682.28387522811</v>
      </c>
      <c r="D16" s="6">
        <v>46080</v>
      </c>
      <c r="E16" s="7">
        <v>0.63488943240160922</v>
      </c>
      <c r="F16" s="7">
        <v>0.38199400770894337</v>
      </c>
      <c r="G16" s="7">
        <v>0.9767427857908062</v>
      </c>
    </row>
    <row r="17" spans="2:7" x14ac:dyDescent="0.25">
      <c r="B17" s="5" t="s">
        <v>29</v>
      </c>
      <c r="C17" s="6">
        <v>22698.574680403253</v>
      </c>
      <c r="D17" s="6">
        <v>20736</v>
      </c>
      <c r="E17" s="7">
        <v>0.27472510625301277</v>
      </c>
      <c r="F17" s="7">
        <v>9.4645769695372944E-2</v>
      </c>
      <c r="G17" s="7">
        <v>0.34772473998525799</v>
      </c>
    </row>
    <row r="18" spans="2:7" x14ac:dyDescent="0.25">
      <c r="B18" s="5" t="s">
        <v>30</v>
      </c>
      <c r="C18" s="6">
        <v>10583.391747269818</v>
      </c>
      <c r="D18" s="6">
        <v>17760</v>
      </c>
      <c r="E18" s="7">
        <v>0.50047357905587253</v>
      </c>
      <c r="F18" s="7">
        <v>0.40408830251859135</v>
      </c>
      <c r="G18" s="7">
        <v>-0.38752164816611884</v>
      </c>
    </row>
    <row r="19" spans="2:7" x14ac:dyDescent="0.25">
      <c r="B19" s="5" t="s">
        <v>32</v>
      </c>
      <c r="C19" s="6">
        <v>27672.19937444013</v>
      </c>
      <c r="D19" s="6">
        <v>27240</v>
      </c>
      <c r="E19" s="7">
        <v>0.21721419202407966</v>
      </c>
      <c r="F19" s="7">
        <v>1.5866350016157479E-2</v>
      </c>
      <c r="G19" s="7">
        <v>0.14657242542415055</v>
      </c>
    </row>
    <row r="20" spans="2:7" x14ac:dyDescent="0.25">
      <c r="B20" s="5" t="s">
        <v>33</v>
      </c>
      <c r="C20" s="6">
        <v>28372.235291779572</v>
      </c>
      <c r="D20" s="6">
        <v>23940</v>
      </c>
      <c r="E20" s="7">
        <v>0.33985937133888178</v>
      </c>
      <c r="F20" s="7">
        <v>0.18513931878778497</v>
      </c>
      <c r="G20" s="7">
        <v>0.35805901825286784</v>
      </c>
    </row>
    <row r="21" spans="2:7" x14ac:dyDescent="0.25">
      <c r="B21" s="5" t="s">
        <v>35</v>
      </c>
      <c r="C21" s="6">
        <v>16822.623229643279</v>
      </c>
      <c r="D21" s="6">
        <v>17340</v>
      </c>
      <c r="E21" s="7">
        <v>0.22509987831309344</v>
      </c>
      <c r="F21" s="7">
        <v>2.9837183988276873E-2</v>
      </c>
      <c r="G21" s="7">
        <v>3.4877021843346158E-2</v>
      </c>
    </row>
    <row r="22" spans="2:7" x14ac:dyDescent="0.25">
      <c r="B22" s="5" t="s">
        <v>37</v>
      </c>
      <c r="C22" s="6">
        <v>14983.9568744187</v>
      </c>
      <c r="D22" s="6">
        <v>11520</v>
      </c>
      <c r="E22" s="7">
        <v>0.30406478636028644</v>
      </c>
      <c r="F22" s="7">
        <v>0.30069070090440103</v>
      </c>
      <c r="G22" s="7">
        <v>0.3492631855725879</v>
      </c>
    </row>
    <row r="23" spans="2:7" x14ac:dyDescent="0.25">
      <c r="B23" s="5" t="s">
        <v>38</v>
      </c>
      <c r="C23" s="6">
        <v>104935.2968329953</v>
      </c>
      <c r="D23" s="6">
        <v>79200</v>
      </c>
      <c r="E23" s="7">
        <v>0.40820336109774624</v>
      </c>
      <c r="F23" s="7">
        <v>0.32494061657822348</v>
      </c>
      <c r="G23" s="7">
        <v>0.5970506188720629</v>
      </c>
    </row>
    <row r="24" spans="2:7" x14ac:dyDescent="0.25">
      <c r="B24" s="5" t="s">
        <v>40</v>
      </c>
      <c r="C24" s="6">
        <v>35237.323559397548</v>
      </c>
      <c r="D24" s="6">
        <v>34800</v>
      </c>
      <c r="E24" s="7">
        <v>0.24545093928497325</v>
      </c>
      <c r="F24" s="7">
        <v>1.2566768948205397E-2</v>
      </c>
      <c r="G24" s="7">
        <v>0.1669046523398654</v>
      </c>
    </row>
    <row r="25" spans="2:7" x14ac:dyDescent="0.25">
      <c r="B25" s="5" t="s">
        <v>41</v>
      </c>
      <c r="C25" s="6">
        <v>98046.717723230307</v>
      </c>
      <c r="D25" s="6">
        <v>94800</v>
      </c>
      <c r="E25" s="7">
        <v>0.17378593794048847</v>
      </c>
      <c r="F25" s="7">
        <v>3.4248077249264847E-2</v>
      </c>
      <c r="G25" s="7">
        <v>0.16148131881114344</v>
      </c>
    </row>
    <row r="26" spans="2:7" x14ac:dyDescent="0.25">
      <c r="B26" s="5" t="s">
        <v>43</v>
      </c>
      <c r="C26" s="6">
        <v>21550.88407728128</v>
      </c>
      <c r="D26" s="6">
        <v>20700</v>
      </c>
      <c r="E26" s="7">
        <v>0.25493358716086478</v>
      </c>
      <c r="F26" s="7">
        <v>4.1105510979771984E-2</v>
      </c>
      <c r="G26" s="7">
        <v>0.21495622425916791</v>
      </c>
    </row>
    <row r="27" spans="2:7" x14ac:dyDescent="0.25">
      <c r="B27" s="5" t="s">
        <v>45</v>
      </c>
      <c r="C27" s="6">
        <v>67544.367834317745</v>
      </c>
      <c r="D27" s="6">
        <v>61800</v>
      </c>
      <c r="E27" s="7">
        <v>0.22157490405028896</v>
      </c>
      <c r="F27" s="7">
        <v>9.2950935830384232E-2</v>
      </c>
      <c r="G27" s="7">
        <v>0.26791530663950952</v>
      </c>
    </row>
    <row r="28" spans="2:7" x14ac:dyDescent="0.25">
      <c r="B28" s="5" t="s">
        <v>47</v>
      </c>
      <c r="C28" s="6">
        <v>3677.4772713766179</v>
      </c>
      <c r="D28" s="6">
        <v>9960</v>
      </c>
      <c r="E28" s="7">
        <v>0.90680041914231546</v>
      </c>
      <c r="F28" s="7">
        <v>0.63077537435977737</v>
      </c>
      <c r="G28" s="7">
        <v>-0.66763645059652232</v>
      </c>
    </row>
    <row r="29" spans="2:7" x14ac:dyDescent="0.25">
      <c r="B29" s="5" t="s">
        <v>49</v>
      </c>
      <c r="C29" s="6">
        <v>5103.8347637181814</v>
      </c>
      <c r="D29" s="6">
        <v>6600</v>
      </c>
      <c r="E29" s="7">
        <v>0.60215938369705768</v>
      </c>
      <c r="F29" s="7">
        <v>0.2266917024669422</v>
      </c>
      <c r="G29" s="7">
        <v>0.55636281815978894</v>
      </c>
    </row>
    <row r="30" spans="2:7" x14ac:dyDescent="0.25">
      <c r="B30" s="5" t="s">
        <v>65</v>
      </c>
      <c r="C30" s="6">
        <v>835389.56820690085</v>
      </c>
      <c r="D30" s="6">
        <v>775116</v>
      </c>
      <c r="E30" s="7">
        <v>0.30780124669006254</v>
      </c>
      <c r="F30" s="7">
        <v>7.7760707051461778E-2</v>
      </c>
      <c r="G30" s="7">
        <v>0.27143036412878796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160AC-1829-43F3-A27C-CA2B27D5BDDF}">
  <dimension ref="A2:O54"/>
  <sheetViews>
    <sheetView workbookViewId="0">
      <selection activeCell="I5" sqref="I5"/>
    </sheetView>
  </sheetViews>
  <sheetFormatPr baseColWidth="10" defaultRowHeight="15" outlineLevelCol="1" x14ac:dyDescent="0.25"/>
  <cols>
    <col min="1" max="1" width="11.42578125" style="2"/>
    <col min="3" max="3" width="28.42578125" bestFit="1" customWidth="1"/>
    <col min="4" max="6" width="11.42578125" customWidth="1" outlineLevel="1"/>
    <col min="7" max="7" width="12" customWidth="1"/>
    <col min="8" max="8" width="12" customWidth="1" outlineLevel="1"/>
    <col min="9" max="9" width="14.85546875" bestFit="1" customWidth="1"/>
  </cols>
  <sheetData>
    <row r="2" spans="1:15" x14ac:dyDescent="0.25">
      <c r="A2" s="1" t="s">
        <v>58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59</v>
      </c>
      <c r="H2" s="1" t="s">
        <v>51</v>
      </c>
      <c r="I2" s="1" t="s">
        <v>52</v>
      </c>
      <c r="J2" s="1" t="s">
        <v>53</v>
      </c>
      <c r="K2" s="1" t="s">
        <v>54</v>
      </c>
      <c r="L2" s="1" t="s">
        <v>55</v>
      </c>
      <c r="M2" s="1" t="s">
        <v>56</v>
      </c>
      <c r="N2" s="1" t="s">
        <v>57</v>
      </c>
      <c r="O2" s="3" t="s">
        <v>64</v>
      </c>
    </row>
    <row r="3" spans="1:15" x14ac:dyDescent="0.25">
      <c r="A3" s="2">
        <v>1</v>
      </c>
      <c r="B3" t="s">
        <v>6</v>
      </c>
      <c r="C3" t="s">
        <v>7</v>
      </c>
      <c r="D3">
        <v>3925.7900359975602</v>
      </c>
      <c r="E3">
        <v>4127.5523510104476</v>
      </c>
      <c r="F3">
        <v>25.56942245630032</v>
      </c>
      <c r="G3" t="s">
        <v>5</v>
      </c>
      <c r="H3">
        <f>_xlfn.XLOOKUP($B3,'raw data'!$A:$A,'raw data'!F:F)</f>
        <v>20140.043042131601</v>
      </c>
      <c r="I3">
        <f>_xlfn.XLOOKUP($B3,'raw data'!$A:$A,'raw data'!G:G)</f>
        <v>14303.7974486653</v>
      </c>
      <c r="J3">
        <f>_xlfn.XLOOKUP($B3,'raw data'!$A:$A,'raw data'!H:H)</f>
        <v>11260.9130840488</v>
      </c>
      <c r="K3">
        <f>_xlfn.XLOOKUP($B3,'raw data'!$A:$A,'raw data'!I:I)</f>
        <v>19622.9073930333</v>
      </c>
      <c r="L3">
        <f>_xlfn.XLOOKUP($B3,'raw data'!$A:$A,'raw data'!J:J)</f>
        <v>9156.6620061632693</v>
      </c>
      <c r="M3">
        <f>_xlfn.XLOOKUP($B3,'raw data'!$A:$A,'raw data'!K:K)</f>
        <v>26757.108699014301</v>
      </c>
      <c r="N3">
        <f>_xlfn.XLOOKUP($B3,'raw data'!$A:$A,'raw data'!L:L)</f>
        <v>21472.594346586699</v>
      </c>
      <c r="O3">
        <f>SUM(H3:N3)</f>
        <v>122714.02601964326</v>
      </c>
    </row>
    <row r="4" spans="1:15" x14ac:dyDescent="0.25">
      <c r="B4" t="s">
        <v>6</v>
      </c>
      <c r="G4" t="s">
        <v>60</v>
      </c>
      <c r="H4">
        <v>25800</v>
      </c>
      <c r="I4">
        <v>19800</v>
      </c>
      <c r="J4">
        <v>9000</v>
      </c>
      <c r="K4">
        <v>22800</v>
      </c>
      <c r="L4">
        <v>6000</v>
      </c>
      <c r="M4">
        <v>21900</v>
      </c>
      <c r="N4">
        <v>18600</v>
      </c>
      <c r="O4">
        <f t="shared" ref="O4:O46" si="0">SUM(H4:N4)</f>
        <v>123900</v>
      </c>
    </row>
    <row r="5" spans="1:15" x14ac:dyDescent="0.25">
      <c r="A5" s="2">
        <v>2</v>
      </c>
      <c r="B5" t="s">
        <v>27</v>
      </c>
      <c r="C5" t="s">
        <v>11</v>
      </c>
      <c r="D5">
        <v>989.15969777489931</v>
      </c>
      <c r="E5">
        <v>1182.289171929961</v>
      </c>
      <c r="F5">
        <v>34.357923627152111</v>
      </c>
      <c r="G5" t="s">
        <v>5</v>
      </c>
      <c r="H5">
        <f>_xlfn.XLOOKUP($B5,'raw data'!$A:$A,'raw data'!F:F)</f>
        <v>3995.1375678260802</v>
      </c>
      <c r="I5">
        <f>_xlfn.XLOOKUP($B5,'raw data'!$A:$A,'raw data'!G:G)</f>
        <v>4607.4318767095101</v>
      </c>
      <c r="J5">
        <f>_xlfn.XLOOKUP($B5,'raw data'!$A:$A,'raw data'!H:H)</f>
        <v>3889.8666971539801</v>
      </c>
      <c r="K5">
        <f>_xlfn.XLOOKUP($B5,'raw data'!$A:$A,'raw data'!I:I)</f>
        <v>5076.7070167582397</v>
      </c>
      <c r="L5">
        <f>_xlfn.XLOOKUP($B5,'raw data'!$A:$A,'raw data'!J:J)</f>
        <v>3866.0229964067298</v>
      </c>
      <c r="M5">
        <f>_xlfn.XLOOKUP($B5,'raw data'!$A:$A,'raw data'!K:K)</f>
        <v>4787.2011234744105</v>
      </c>
      <c r="N5">
        <f>_xlfn.XLOOKUP($B5,'raw data'!$A:$A,'raw data'!L:L)</f>
        <v>4240.6997191313903</v>
      </c>
      <c r="O5">
        <f t="shared" si="0"/>
        <v>30463.066997460341</v>
      </c>
    </row>
    <row r="6" spans="1:15" x14ac:dyDescent="0.25">
      <c r="B6" t="s">
        <v>27</v>
      </c>
      <c r="G6" t="s">
        <v>60</v>
      </c>
      <c r="H6">
        <v>2250</v>
      </c>
      <c r="I6">
        <v>3000</v>
      </c>
      <c r="J6">
        <v>4500</v>
      </c>
      <c r="K6">
        <v>5250</v>
      </c>
      <c r="L6">
        <v>2250</v>
      </c>
      <c r="M6">
        <v>5850</v>
      </c>
      <c r="N6">
        <v>4350</v>
      </c>
      <c r="O6">
        <f t="shared" si="0"/>
        <v>27450</v>
      </c>
    </row>
    <row r="7" spans="1:15" x14ac:dyDescent="0.25">
      <c r="A7" s="2">
        <v>3</v>
      </c>
      <c r="B7" t="s">
        <v>38</v>
      </c>
      <c r="C7" t="s">
        <v>39</v>
      </c>
      <c r="D7">
        <v>4618.5294569916614</v>
      </c>
      <c r="E7">
        <v>5226.9588533476044</v>
      </c>
      <c r="F7">
        <v>64.938720114147969</v>
      </c>
      <c r="G7" t="s">
        <v>5</v>
      </c>
      <c r="H7">
        <f>_xlfn.XLOOKUP($B7,'raw data'!$A:$A,'raw data'!F:F)</f>
        <v>13309.390814341299</v>
      </c>
      <c r="I7">
        <f>_xlfn.XLOOKUP($B7,'raw data'!$A:$A,'raw data'!G:G)</f>
        <v>15675.1027306788</v>
      </c>
      <c r="J7">
        <f>_xlfn.XLOOKUP($B7,'raw data'!$A:$A,'raw data'!H:H)</f>
        <v>14702.795317026899</v>
      </c>
      <c r="K7">
        <f>_xlfn.XLOOKUP($B7,'raw data'!$A:$A,'raw data'!I:I)</f>
        <v>18112.4674777654</v>
      </c>
      <c r="L7">
        <f>_xlfn.XLOOKUP($B7,'raw data'!$A:$A,'raw data'!J:J)</f>
        <v>12228.802102781299</v>
      </c>
      <c r="M7">
        <f>_xlfn.XLOOKUP($B7,'raw data'!$A:$A,'raw data'!K:K)</f>
        <v>18106.326375964902</v>
      </c>
      <c r="N7">
        <f>_xlfn.XLOOKUP($B7,'raw data'!$A:$A,'raw data'!L:L)</f>
        <v>12800.412014436701</v>
      </c>
      <c r="O7">
        <f t="shared" si="0"/>
        <v>104935.2968329953</v>
      </c>
    </row>
    <row r="8" spans="1:15" x14ac:dyDescent="0.25">
      <c r="B8" t="s">
        <v>38</v>
      </c>
      <c r="G8" t="s">
        <v>60</v>
      </c>
      <c r="H8">
        <v>6000</v>
      </c>
      <c r="I8">
        <v>9000</v>
      </c>
      <c r="J8">
        <v>18000</v>
      </c>
      <c r="K8">
        <v>15000</v>
      </c>
      <c r="L8">
        <v>4200</v>
      </c>
      <c r="M8">
        <v>15600</v>
      </c>
      <c r="N8">
        <v>11400</v>
      </c>
      <c r="O8">
        <f t="shared" si="0"/>
        <v>79200</v>
      </c>
    </row>
    <row r="9" spans="1:15" x14ac:dyDescent="0.25">
      <c r="A9" s="2">
        <v>4</v>
      </c>
      <c r="B9" t="s">
        <v>40</v>
      </c>
      <c r="C9" t="s">
        <v>31</v>
      </c>
      <c r="D9">
        <v>1220.241812445295</v>
      </c>
      <c r="E9">
        <v>1466.6586656585989</v>
      </c>
      <c r="F9">
        <v>32.756126858919252</v>
      </c>
      <c r="G9" t="s">
        <v>5</v>
      </c>
      <c r="H9">
        <f>_xlfn.XLOOKUP($B9,'raw data'!$A:$A,'raw data'!F:F)</f>
        <v>4957.4492226287202</v>
      </c>
      <c r="I9">
        <f>_xlfn.XLOOKUP($B9,'raw data'!$A:$A,'raw data'!G:G)</f>
        <v>4961.8857633310799</v>
      </c>
      <c r="J9">
        <f>_xlfn.XLOOKUP($B9,'raw data'!$A:$A,'raw data'!H:H)</f>
        <v>4933.2799503058704</v>
      </c>
      <c r="K9">
        <f>_xlfn.XLOOKUP($B9,'raw data'!$A:$A,'raw data'!I:I)</f>
        <v>6242.4814367111203</v>
      </c>
      <c r="L9">
        <f>_xlfn.XLOOKUP($B9,'raw data'!$A:$A,'raw data'!J:J)</f>
        <v>3715.7896464127598</v>
      </c>
      <c r="M9">
        <f>_xlfn.XLOOKUP($B9,'raw data'!$A:$A,'raw data'!K:K)</f>
        <v>5772.0540491232496</v>
      </c>
      <c r="N9">
        <f>_xlfn.XLOOKUP($B9,'raw data'!$A:$A,'raw data'!L:L)</f>
        <v>4654.3834908847502</v>
      </c>
      <c r="O9">
        <f t="shared" si="0"/>
        <v>35237.323559397548</v>
      </c>
    </row>
    <row r="10" spans="1:15" x14ac:dyDescent="0.25">
      <c r="B10" t="s">
        <v>40</v>
      </c>
      <c r="G10" t="s">
        <v>60</v>
      </c>
      <c r="H10">
        <v>3000</v>
      </c>
      <c r="I10">
        <v>4500</v>
      </c>
      <c r="J10">
        <v>7500</v>
      </c>
      <c r="K10">
        <v>6750</v>
      </c>
      <c r="L10">
        <v>1950</v>
      </c>
      <c r="M10">
        <v>6750</v>
      </c>
      <c r="N10">
        <v>4350</v>
      </c>
      <c r="O10">
        <f t="shared" si="0"/>
        <v>34800</v>
      </c>
    </row>
    <row r="11" spans="1:15" x14ac:dyDescent="0.25">
      <c r="A11" s="2">
        <v>5</v>
      </c>
      <c r="B11" t="s">
        <v>41</v>
      </c>
      <c r="C11" t="s">
        <v>42</v>
      </c>
      <c r="D11">
        <v>2353.5581309654849</v>
      </c>
      <c r="E11">
        <v>3157.6619219648269</v>
      </c>
      <c r="F11">
        <v>25.146900039977101</v>
      </c>
      <c r="G11" t="s">
        <v>5</v>
      </c>
      <c r="H11">
        <f>_xlfn.XLOOKUP($B11,'raw data'!$A:$A,'raw data'!F:F)</f>
        <v>17971.561432516901</v>
      </c>
      <c r="I11">
        <f>_xlfn.XLOOKUP($B11,'raw data'!$A:$A,'raw data'!G:G)</f>
        <v>15494.1502903081</v>
      </c>
      <c r="J11">
        <f>_xlfn.XLOOKUP($B11,'raw data'!$A:$A,'raw data'!H:H)</f>
        <v>12490.5236338902</v>
      </c>
      <c r="K11">
        <f>_xlfn.XLOOKUP($B11,'raw data'!$A:$A,'raw data'!I:I)</f>
        <v>17414.343970719099</v>
      </c>
      <c r="L11">
        <f>_xlfn.XLOOKUP($B11,'raw data'!$A:$A,'raw data'!J:J)</f>
        <v>9431.5799568886105</v>
      </c>
      <c r="M11">
        <f>_xlfn.XLOOKUP($B11,'raw data'!$A:$A,'raw data'!K:K)</f>
        <v>14568.2022333314</v>
      </c>
      <c r="N11">
        <f>_xlfn.XLOOKUP($B11,'raw data'!$A:$A,'raw data'!L:L)</f>
        <v>10676.356205575999</v>
      </c>
      <c r="O11">
        <f t="shared" si="0"/>
        <v>98046.717723230307</v>
      </c>
    </row>
    <row r="12" spans="1:15" x14ac:dyDescent="0.25">
      <c r="B12" t="s">
        <v>41</v>
      </c>
      <c r="G12" t="s">
        <v>60</v>
      </c>
      <c r="H12">
        <v>21000</v>
      </c>
      <c r="I12">
        <v>15000</v>
      </c>
      <c r="J12">
        <v>6000</v>
      </c>
      <c r="K12">
        <v>21000</v>
      </c>
      <c r="L12">
        <v>9000</v>
      </c>
      <c r="M12">
        <v>14400</v>
      </c>
      <c r="N12">
        <v>8400</v>
      </c>
      <c r="O12">
        <f t="shared" si="0"/>
        <v>94800</v>
      </c>
    </row>
    <row r="13" spans="1:15" x14ac:dyDescent="0.25">
      <c r="A13" s="2">
        <v>6</v>
      </c>
      <c r="B13" t="s">
        <v>43</v>
      </c>
      <c r="C13" t="s">
        <v>44</v>
      </c>
      <c r="D13">
        <v>753.87503631855714</v>
      </c>
      <c r="E13">
        <v>857.07940067147956</v>
      </c>
      <c r="F13">
        <v>37.464813898128398</v>
      </c>
      <c r="G13" t="s">
        <v>5</v>
      </c>
      <c r="H13">
        <f>_xlfn.XLOOKUP($B13,'raw data'!$A:$A,'raw data'!F:F)</f>
        <v>2527.3798932260802</v>
      </c>
      <c r="I13">
        <f>_xlfn.XLOOKUP($B13,'raw data'!$A:$A,'raw data'!G:G)</f>
        <v>4513.5878833848601</v>
      </c>
      <c r="J13">
        <f>_xlfn.XLOOKUP($B13,'raw data'!$A:$A,'raw data'!H:H)</f>
        <v>3127.2099090136799</v>
      </c>
      <c r="K13">
        <f>_xlfn.XLOOKUP($B13,'raw data'!$A:$A,'raw data'!I:I)</f>
        <v>2544.2735563400602</v>
      </c>
      <c r="L13">
        <f>_xlfn.XLOOKUP($B13,'raw data'!$A:$A,'raw data'!J:J)</f>
        <v>1728.7633328045899</v>
      </c>
      <c r="M13">
        <f>_xlfn.XLOOKUP($B13,'raw data'!$A:$A,'raw data'!K:K)</f>
        <v>4501.2910782569197</v>
      </c>
      <c r="N13">
        <f>_xlfn.XLOOKUP($B13,'raw data'!$A:$A,'raw data'!L:L)</f>
        <v>2608.3784242550901</v>
      </c>
      <c r="O13">
        <f t="shared" si="0"/>
        <v>21550.88407728128</v>
      </c>
    </row>
    <row r="14" spans="1:15" x14ac:dyDescent="0.25">
      <c r="B14" t="s">
        <v>43</v>
      </c>
      <c r="G14" t="s">
        <v>60</v>
      </c>
      <c r="H14">
        <v>2250</v>
      </c>
      <c r="I14">
        <v>3000</v>
      </c>
      <c r="J14">
        <v>3750</v>
      </c>
      <c r="K14">
        <v>2250</v>
      </c>
      <c r="L14">
        <v>750</v>
      </c>
      <c r="M14">
        <v>5100</v>
      </c>
      <c r="N14">
        <v>3600</v>
      </c>
      <c r="O14">
        <f t="shared" si="0"/>
        <v>20700</v>
      </c>
    </row>
    <row r="15" spans="1:15" x14ac:dyDescent="0.25">
      <c r="A15" s="2">
        <v>7</v>
      </c>
      <c r="B15" t="s">
        <v>45</v>
      </c>
      <c r="C15" t="s">
        <v>46</v>
      </c>
      <c r="D15">
        <v>1956.1898671868439</v>
      </c>
      <c r="E15">
        <v>2190.928740080059</v>
      </c>
      <c r="F15">
        <v>34.711814135757031</v>
      </c>
      <c r="G15" t="s">
        <v>5</v>
      </c>
      <c r="H15">
        <f>_xlfn.XLOOKUP($B15,'raw data'!$A:$A,'raw data'!F:F)</f>
        <v>4080.1186141896301</v>
      </c>
      <c r="I15">
        <f>_xlfn.XLOOKUP($B15,'raw data'!$A:$A,'raw data'!G:G)</f>
        <v>9145.0015383403406</v>
      </c>
      <c r="J15">
        <f>_xlfn.XLOOKUP($B15,'raw data'!$A:$A,'raw data'!H:H)</f>
        <v>12825.9965297981</v>
      </c>
      <c r="K15">
        <f>_xlfn.XLOOKUP($B15,'raw data'!$A:$A,'raw data'!I:I)</f>
        <v>11036.744564045301</v>
      </c>
      <c r="L15">
        <f>_xlfn.XLOOKUP($B15,'raw data'!$A:$A,'raw data'!J:J)</f>
        <v>6690.0247641287997</v>
      </c>
      <c r="M15">
        <f>_xlfn.XLOOKUP($B15,'raw data'!$A:$A,'raw data'!K:K)</f>
        <v>13880.5178436646</v>
      </c>
      <c r="N15">
        <f>_xlfn.XLOOKUP($B15,'raw data'!$A:$A,'raw data'!L:L)</f>
        <v>9885.9639801509693</v>
      </c>
      <c r="O15">
        <f t="shared" si="0"/>
        <v>67544.367834317745</v>
      </c>
    </row>
    <row r="16" spans="1:15" x14ac:dyDescent="0.25">
      <c r="B16" t="s">
        <v>45</v>
      </c>
      <c r="G16" t="s">
        <v>60</v>
      </c>
      <c r="H16">
        <v>3000</v>
      </c>
      <c r="I16">
        <v>10200</v>
      </c>
      <c r="J16">
        <v>12000</v>
      </c>
      <c r="K16">
        <v>9000</v>
      </c>
      <c r="L16">
        <v>3000</v>
      </c>
      <c r="M16">
        <v>16800</v>
      </c>
      <c r="N16">
        <v>7800</v>
      </c>
      <c r="O16">
        <f t="shared" si="0"/>
        <v>61800</v>
      </c>
    </row>
    <row r="17" spans="1:15" x14ac:dyDescent="0.25">
      <c r="A17" s="2">
        <v>8</v>
      </c>
      <c r="B17" t="s">
        <v>47</v>
      </c>
      <c r="C17" t="s">
        <v>48</v>
      </c>
      <c r="D17">
        <v>962.4431793768556</v>
      </c>
      <c r="E17">
        <v>1179.105688242111</v>
      </c>
      <c r="F17">
        <v>45.400550503093548</v>
      </c>
      <c r="G17" t="s">
        <v>5</v>
      </c>
      <c r="H17">
        <f>_xlfn.XLOOKUP($B17,'raw data'!$A:$A,'raw data'!F:F)</f>
        <v>1764.9262917443</v>
      </c>
      <c r="I17">
        <f>_xlfn.XLOOKUP($B17,'raw data'!$A:$A,'raw data'!G:G)</f>
        <v>169.06849761800399</v>
      </c>
      <c r="J17">
        <f>_xlfn.XLOOKUP($B17,'raw data'!$A:$A,'raw data'!H:H)</f>
        <v>368.87775899727399</v>
      </c>
      <c r="K17">
        <f>_xlfn.XLOOKUP($B17,'raw data'!$A:$A,'raw data'!I:I)</f>
        <v>0</v>
      </c>
      <c r="L17">
        <f>_xlfn.XLOOKUP($B17,'raw data'!$A:$A,'raw data'!J:J)</f>
        <v>0</v>
      </c>
      <c r="M17">
        <f>_xlfn.XLOOKUP($B17,'raw data'!$A:$A,'raw data'!K:K)</f>
        <v>0</v>
      </c>
      <c r="N17">
        <f>_xlfn.XLOOKUP($B17,'raw data'!$A:$A,'raw data'!L:L)</f>
        <v>1374.60472301704</v>
      </c>
      <c r="O17">
        <f t="shared" si="0"/>
        <v>3677.4772713766179</v>
      </c>
    </row>
    <row r="18" spans="1:15" x14ac:dyDescent="0.25">
      <c r="B18" t="s">
        <v>47</v>
      </c>
      <c r="G18" t="s">
        <v>60</v>
      </c>
      <c r="H18">
        <v>5160</v>
      </c>
      <c r="I18">
        <v>4200</v>
      </c>
      <c r="J18">
        <v>600</v>
      </c>
      <c r="K18">
        <v>0</v>
      </c>
      <c r="L18">
        <v>0</v>
      </c>
      <c r="M18">
        <v>0</v>
      </c>
      <c r="N18">
        <v>0</v>
      </c>
      <c r="O18">
        <f t="shared" si="0"/>
        <v>9960</v>
      </c>
    </row>
    <row r="19" spans="1:15" x14ac:dyDescent="0.25">
      <c r="A19" s="2">
        <v>9</v>
      </c>
      <c r="B19" t="s">
        <v>49</v>
      </c>
      <c r="C19" t="s">
        <v>50</v>
      </c>
      <c r="D19">
        <v>462.65278701651039</v>
      </c>
      <c r="E19">
        <v>523.1664641103107</v>
      </c>
      <c r="F19">
        <v>107.072613748397</v>
      </c>
      <c r="G19" t="s">
        <v>5</v>
      </c>
      <c r="H19">
        <f>_xlfn.XLOOKUP($B19,'raw data'!$A:$A,'raw data'!F:F)</f>
        <v>1103.01041142341</v>
      </c>
      <c r="I19">
        <f>_xlfn.XLOOKUP($B19,'raw data'!$A:$A,'raw data'!G:G)</f>
        <v>547.12662328239298</v>
      </c>
      <c r="J19">
        <f>_xlfn.XLOOKUP($B19,'raw data'!$A:$A,'raw data'!H:H)</f>
        <v>532.84290185031705</v>
      </c>
      <c r="K19">
        <f>_xlfn.XLOOKUP($B19,'raw data'!$A:$A,'raw data'!I:I)</f>
        <v>899.00815805576894</v>
      </c>
      <c r="L19">
        <f>_xlfn.XLOOKUP($B19,'raw data'!$A:$A,'raw data'!J:J)</f>
        <v>178.327750671193</v>
      </c>
      <c r="M19">
        <f>_xlfn.XLOOKUP($B19,'raw data'!$A:$A,'raw data'!K:K)</f>
        <v>1030.6103517138799</v>
      </c>
      <c r="N19">
        <f>_xlfn.XLOOKUP($B19,'raw data'!$A:$A,'raw data'!L:L)</f>
        <v>812.90856672121902</v>
      </c>
      <c r="O19">
        <f t="shared" si="0"/>
        <v>5103.8347637181814</v>
      </c>
    </row>
    <row r="20" spans="1:15" x14ac:dyDescent="0.25">
      <c r="B20" t="s">
        <v>49</v>
      </c>
      <c r="G20" t="s">
        <v>60</v>
      </c>
      <c r="H20">
        <v>2760</v>
      </c>
      <c r="I20">
        <v>120</v>
      </c>
      <c r="J20">
        <v>1200</v>
      </c>
      <c r="K20">
        <v>600</v>
      </c>
      <c r="L20">
        <v>420</v>
      </c>
      <c r="M20">
        <v>1200</v>
      </c>
      <c r="N20">
        <v>300</v>
      </c>
      <c r="O20">
        <f t="shared" si="0"/>
        <v>6600</v>
      </c>
    </row>
    <row r="21" spans="1:15" x14ac:dyDescent="0.25">
      <c r="A21" s="2">
        <v>10</v>
      </c>
      <c r="B21" t="s">
        <v>8</v>
      </c>
      <c r="C21" t="s">
        <v>9</v>
      </c>
      <c r="D21">
        <v>250.8257294371891</v>
      </c>
      <c r="E21">
        <v>290.17225582680391</v>
      </c>
      <c r="F21">
        <v>36.626048430824078</v>
      </c>
      <c r="G21" t="s">
        <v>5</v>
      </c>
      <c r="H21">
        <f>_xlfn.XLOOKUP($B21,'raw data'!$A:$A,'raw data'!F:F)</f>
        <v>734.79678497152599</v>
      </c>
      <c r="I21">
        <f>_xlfn.XLOOKUP($B21,'raw data'!$A:$A,'raw data'!G:G)</f>
        <v>1291.1967353232101</v>
      </c>
      <c r="J21">
        <f>_xlfn.XLOOKUP($B21,'raw data'!$A:$A,'raw data'!H:H)</f>
        <v>868.73114261374894</v>
      </c>
      <c r="K21">
        <f>_xlfn.XLOOKUP($B21,'raw data'!$A:$A,'raw data'!I:I)</f>
        <v>1212.32032685435</v>
      </c>
      <c r="L21">
        <f>_xlfn.XLOOKUP($B21,'raw data'!$A:$A,'raw data'!J:J)</f>
        <v>1008.74440972262</v>
      </c>
      <c r="M21">
        <f>_xlfn.XLOOKUP($B21,'raw data'!$A:$A,'raw data'!K:K)</f>
        <v>915.78988881220903</v>
      </c>
      <c r="N21">
        <f>_xlfn.XLOOKUP($B21,'raw data'!$A:$A,'raw data'!L:L)</f>
        <v>1211.2349421177701</v>
      </c>
      <c r="O21">
        <f t="shared" si="0"/>
        <v>7242.8142304154335</v>
      </c>
    </row>
    <row r="22" spans="1:15" x14ac:dyDescent="0.25">
      <c r="B22" t="s">
        <v>8</v>
      </c>
      <c r="G22" t="s">
        <v>60</v>
      </c>
      <c r="H22">
        <v>600</v>
      </c>
      <c r="I22">
        <v>1680</v>
      </c>
      <c r="J22">
        <v>420</v>
      </c>
      <c r="K22">
        <v>1380</v>
      </c>
      <c r="L22">
        <v>600</v>
      </c>
      <c r="M22">
        <v>780</v>
      </c>
      <c r="N22">
        <v>1140</v>
      </c>
      <c r="O22">
        <f t="shared" si="0"/>
        <v>6600</v>
      </c>
    </row>
    <row r="23" spans="1:15" x14ac:dyDescent="0.25">
      <c r="A23" s="2">
        <v>11</v>
      </c>
      <c r="B23" t="s">
        <v>10</v>
      </c>
      <c r="C23" t="s">
        <v>11</v>
      </c>
      <c r="D23">
        <v>232.01019361116209</v>
      </c>
      <c r="E23">
        <v>321.73949429821857</v>
      </c>
      <c r="F23">
        <v>21.22618517996062</v>
      </c>
      <c r="G23" t="s">
        <v>5</v>
      </c>
      <c r="H23">
        <f>_xlfn.XLOOKUP($B23,'raw data'!$A:$A,'raw data'!F:F)</f>
        <v>666.51394648544795</v>
      </c>
      <c r="I23">
        <f>_xlfn.XLOOKUP($B23,'raw data'!$A:$A,'raw data'!G:G)</f>
        <v>1607.1162150749101</v>
      </c>
      <c r="J23">
        <f>_xlfn.XLOOKUP($B23,'raw data'!$A:$A,'raw data'!H:H)</f>
        <v>570.79605137667795</v>
      </c>
      <c r="K23">
        <f>_xlfn.XLOOKUP($B23,'raw data'!$A:$A,'raw data'!I:I)</f>
        <v>1247.40175854329</v>
      </c>
      <c r="L23">
        <f>_xlfn.XLOOKUP($B23,'raw data'!$A:$A,'raw data'!J:J)</f>
        <v>292.20052653809302</v>
      </c>
      <c r="M23">
        <f>_xlfn.XLOOKUP($B23,'raw data'!$A:$A,'raw data'!K:K)</f>
        <v>1121.8867735896099</v>
      </c>
      <c r="N23">
        <f>_xlfn.XLOOKUP($B23,'raw data'!$A:$A,'raw data'!L:L)</f>
        <v>1369.52830660259</v>
      </c>
      <c r="O23">
        <f t="shared" si="0"/>
        <v>6875.4435782106193</v>
      </c>
    </row>
    <row r="24" spans="1:15" x14ac:dyDescent="0.25">
      <c r="B24" t="s">
        <v>10</v>
      </c>
      <c r="G24" t="s">
        <v>60</v>
      </c>
      <c r="H24">
        <v>600</v>
      </c>
      <c r="I24">
        <v>1440</v>
      </c>
      <c r="J24">
        <v>720</v>
      </c>
      <c r="K24">
        <v>780</v>
      </c>
      <c r="L24">
        <v>300</v>
      </c>
      <c r="M24">
        <v>1020</v>
      </c>
      <c r="N24">
        <v>2460</v>
      </c>
      <c r="O24">
        <f t="shared" si="0"/>
        <v>7320</v>
      </c>
    </row>
    <row r="25" spans="1:15" x14ac:dyDescent="0.25">
      <c r="A25" s="2">
        <v>12</v>
      </c>
      <c r="B25" t="s">
        <v>12</v>
      </c>
      <c r="C25" t="s">
        <v>13</v>
      </c>
      <c r="D25">
        <v>296.26053684072389</v>
      </c>
      <c r="E25">
        <v>356.25712892085892</v>
      </c>
      <c r="F25">
        <v>67.848572106542051</v>
      </c>
      <c r="G25" t="s">
        <v>5</v>
      </c>
      <c r="H25">
        <f>_xlfn.XLOOKUP($B25,'raw data'!$A:$A,'raw data'!F:F)</f>
        <v>1175.1855275051601</v>
      </c>
      <c r="I25">
        <f>_xlfn.XLOOKUP($B25,'raw data'!$A:$A,'raw data'!G:G)</f>
        <v>719.44538121288997</v>
      </c>
      <c r="J25">
        <f>_xlfn.XLOOKUP($B25,'raw data'!$A:$A,'raw data'!H:H)</f>
        <v>506.09647126230198</v>
      </c>
      <c r="K25">
        <f>_xlfn.XLOOKUP($B25,'raw data'!$A:$A,'raw data'!I:I)</f>
        <v>456.61068974318698</v>
      </c>
      <c r="L25">
        <f>_xlfn.XLOOKUP($B25,'raw data'!$A:$A,'raw data'!J:J)</f>
        <v>185.90398680864001</v>
      </c>
      <c r="M25">
        <f>_xlfn.XLOOKUP($B25,'raw data'!$A:$A,'raw data'!K:K)</f>
        <v>422.46998062500302</v>
      </c>
      <c r="N25">
        <f>_xlfn.XLOOKUP($B25,'raw data'!$A:$A,'raw data'!L:L)</f>
        <v>831.00339929554696</v>
      </c>
      <c r="O25">
        <f t="shared" si="0"/>
        <v>4296.7154364527287</v>
      </c>
    </row>
    <row r="26" spans="1:15" x14ac:dyDescent="0.25">
      <c r="B26" t="s">
        <v>12</v>
      </c>
      <c r="G26" t="s">
        <v>60</v>
      </c>
      <c r="H26">
        <v>1260</v>
      </c>
      <c r="I26">
        <v>720</v>
      </c>
      <c r="J26">
        <v>1200</v>
      </c>
      <c r="K26">
        <v>0</v>
      </c>
      <c r="L26">
        <v>720</v>
      </c>
      <c r="M26">
        <v>120</v>
      </c>
      <c r="N26">
        <v>720</v>
      </c>
      <c r="O26">
        <f t="shared" si="0"/>
        <v>4740</v>
      </c>
    </row>
    <row r="27" spans="1:15" x14ac:dyDescent="0.25">
      <c r="A27" s="2">
        <v>13</v>
      </c>
      <c r="B27" t="s">
        <v>14</v>
      </c>
      <c r="C27" t="s">
        <v>15</v>
      </c>
      <c r="D27">
        <v>160.97657494077799</v>
      </c>
      <c r="E27">
        <v>194.897187182262</v>
      </c>
      <c r="F27">
        <v>51.351086734902431</v>
      </c>
      <c r="G27" t="s">
        <v>5</v>
      </c>
      <c r="H27">
        <f>_xlfn.XLOOKUP($B27,'raw data'!$A:$A,'raw data'!F:F)</f>
        <v>845.68558744481697</v>
      </c>
      <c r="I27">
        <f>_xlfn.XLOOKUP($B27,'raw data'!$A:$A,'raw data'!G:G)</f>
        <v>732.09191142891302</v>
      </c>
      <c r="J27">
        <f>_xlfn.XLOOKUP($B27,'raw data'!$A:$A,'raw data'!H:H)</f>
        <v>436.82903591950901</v>
      </c>
      <c r="K27">
        <f>_xlfn.XLOOKUP($B27,'raw data'!$A:$A,'raw data'!I:I)</f>
        <v>627.57509524576403</v>
      </c>
      <c r="L27">
        <f>_xlfn.XLOOKUP($B27,'raw data'!$A:$A,'raw data'!J:J)</f>
        <v>327.05758316067102</v>
      </c>
      <c r="M27">
        <f>_xlfn.XLOOKUP($B27,'raw data'!$A:$A,'raw data'!K:K)</f>
        <v>499.62943579597999</v>
      </c>
      <c r="N27">
        <f>_xlfn.XLOOKUP($B27,'raw data'!$A:$A,'raw data'!L:L)</f>
        <v>697.84880155238295</v>
      </c>
      <c r="O27">
        <f t="shared" si="0"/>
        <v>4166.717450548037</v>
      </c>
    </row>
    <row r="28" spans="1:15" x14ac:dyDescent="0.25">
      <c r="B28" t="s">
        <v>14</v>
      </c>
      <c r="G28" t="s">
        <v>60</v>
      </c>
      <c r="H28">
        <v>480</v>
      </c>
      <c r="I28">
        <v>900</v>
      </c>
      <c r="J28">
        <v>420</v>
      </c>
      <c r="K28">
        <v>600</v>
      </c>
      <c r="L28">
        <v>120</v>
      </c>
      <c r="M28">
        <v>300</v>
      </c>
      <c r="N28">
        <v>840</v>
      </c>
      <c r="O28">
        <f t="shared" si="0"/>
        <v>3660</v>
      </c>
    </row>
    <row r="29" spans="1:15" x14ac:dyDescent="0.25">
      <c r="A29" s="2">
        <v>14</v>
      </c>
      <c r="B29" t="s">
        <v>16</v>
      </c>
      <c r="C29" t="s">
        <v>17</v>
      </c>
      <c r="D29">
        <v>939.33386694631668</v>
      </c>
      <c r="E29">
        <v>1067.3594698468521</v>
      </c>
      <c r="F29">
        <v>115.81230879155331</v>
      </c>
      <c r="G29" t="s">
        <v>5</v>
      </c>
      <c r="H29">
        <f>_xlfn.XLOOKUP($B29,'raw data'!$A:$A,'raw data'!F:F)</f>
        <v>2231.7790228747299</v>
      </c>
      <c r="I29">
        <f>_xlfn.XLOOKUP($B29,'raw data'!$A:$A,'raw data'!G:G)</f>
        <v>2231.7790228747299</v>
      </c>
      <c r="J29">
        <f>_xlfn.XLOOKUP($B29,'raw data'!$A:$A,'raw data'!H:H)</f>
        <v>2231.7790228747299</v>
      </c>
      <c r="K29">
        <f>_xlfn.XLOOKUP($B29,'raw data'!$A:$A,'raw data'!I:I)</f>
        <v>2231.7790228747299</v>
      </c>
      <c r="L29">
        <f>_xlfn.XLOOKUP($B29,'raw data'!$A:$A,'raw data'!J:J)</f>
        <v>2231.7790228747299</v>
      </c>
      <c r="M29">
        <f>_xlfn.XLOOKUP($B29,'raw data'!$A:$A,'raw data'!K:K)</f>
        <v>2231.7790228747299</v>
      </c>
      <c r="N29">
        <f>_xlfn.XLOOKUP($B29,'raw data'!$A:$A,'raw data'!L:L)</f>
        <v>2231.7790228747299</v>
      </c>
      <c r="O29">
        <f t="shared" si="0"/>
        <v>15622.453160123106</v>
      </c>
    </row>
    <row r="30" spans="1:15" x14ac:dyDescent="0.25">
      <c r="B30" t="s">
        <v>16</v>
      </c>
      <c r="G30" t="s">
        <v>60</v>
      </c>
      <c r="H30">
        <v>360</v>
      </c>
      <c r="I30">
        <v>1560</v>
      </c>
      <c r="J30">
        <v>2400</v>
      </c>
      <c r="K30">
        <v>1200</v>
      </c>
      <c r="L30">
        <v>1200</v>
      </c>
      <c r="M30">
        <v>1680</v>
      </c>
      <c r="N30">
        <v>3480</v>
      </c>
      <c r="O30">
        <f t="shared" si="0"/>
        <v>11880</v>
      </c>
    </row>
    <row r="31" spans="1:15" x14ac:dyDescent="0.25">
      <c r="A31" s="2">
        <v>15</v>
      </c>
      <c r="B31" t="s">
        <v>18</v>
      </c>
      <c r="C31" t="s">
        <v>19</v>
      </c>
      <c r="D31">
        <v>309.20839052124751</v>
      </c>
      <c r="E31">
        <v>357.36821809047171</v>
      </c>
      <c r="F31">
        <v>61.033661873628851</v>
      </c>
      <c r="G31" t="s">
        <v>5</v>
      </c>
      <c r="H31">
        <f>_xlfn.XLOOKUP($B31,'raw data'!$A:$A,'raw data'!F:F)</f>
        <v>1057.2126502485501</v>
      </c>
      <c r="I31">
        <f>_xlfn.XLOOKUP($B31,'raw data'!$A:$A,'raw data'!G:G)</f>
        <v>943.322188949458</v>
      </c>
      <c r="J31">
        <f>_xlfn.XLOOKUP($B31,'raw data'!$A:$A,'raw data'!H:H)</f>
        <v>829.43172765036297</v>
      </c>
      <c r="K31">
        <f>_xlfn.XLOOKUP($B31,'raw data'!$A:$A,'raw data'!I:I)</f>
        <v>715.54126635126795</v>
      </c>
      <c r="L31">
        <f>_xlfn.XLOOKUP($B31,'raw data'!$A:$A,'raw data'!J:J)</f>
        <v>601.65080505217304</v>
      </c>
      <c r="M31">
        <f>_xlfn.XLOOKUP($B31,'raw data'!$A:$A,'raw data'!K:K)</f>
        <v>487.760343753077</v>
      </c>
      <c r="N31">
        <f>_xlfn.XLOOKUP($B31,'raw data'!$A:$A,'raw data'!L:L)</f>
        <v>373.86988245398197</v>
      </c>
      <c r="O31">
        <f t="shared" si="0"/>
        <v>5008.7888644588711</v>
      </c>
    </row>
    <row r="32" spans="1:15" x14ac:dyDescent="0.25">
      <c r="B32" t="s">
        <v>18</v>
      </c>
      <c r="G32" t="s">
        <v>60</v>
      </c>
      <c r="H32">
        <v>1200</v>
      </c>
      <c r="I32">
        <v>840</v>
      </c>
      <c r="J32">
        <v>240</v>
      </c>
      <c r="K32">
        <v>1200</v>
      </c>
      <c r="L32">
        <v>960</v>
      </c>
      <c r="M32">
        <v>600</v>
      </c>
      <c r="N32">
        <v>0</v>
      </c>
      <c r="O32">
        <f t="shared" si="0"/>
        <v>5040</v>
      </c>
    </row>
    <row r="33" spans="1:15" x14ac:dyDescent="0.25">
      <c r="A33" s="2">
        <v>16</v>
      </c>
      <c r="B33" t="s">
        <v>20</v>
      </c>
      <c r="C33" t="s">
        <v>15</v>
      </c>
      <c r="D33">
        <v>661.29510376690723</v>
      </c>
      <c r="E33">
        <v>757.71701397042295</v>
      </c>
      <c r="F33">
        <v>76.278076053253443</v>
      </c>
      <c r="G33" t="s">
        <v>5</v>
      </c>
      <c r="H33">
        <f>_xlfn.XLOOKUP($B33,'raw data'!$A:$A,'raw data'!F:F)</f>
        <v>3742.52750746639</v>
      </c>
      <c r="I33">
        <f>_xlfn.XLOOKUP($B33,'raw data'!$A:$A,'raw data'!G:G)</f>
        <v>4196.0784238444903</v>
      </c>
      <c r="J33">
        <f>_xlfn.XLOOKUP($B33,'raw data'!$A:$A,'raw data'!H:H)</f>
        <v>4539.5347916512301</v>
      </c>
      <c r="K33">
        <f>_xlfn.XLOOKUP($B33,'raw data'!$A:$A,'raw data'!I:I)</f>
        <v>4098.3174683253901</v>
      </c>
      <c r="L33">
        <f>_xlfn.XLOOKUP($B33,'raw data'!$A:$A,'raw data'!J:J)</f>
        <v>0</v>
      </c>
      <c r="M33">
        <f>_xlfn.XLOOKUP($B33,'raw data'!$A:$A,'raw data'!K:K)</f>
        <v>4234.6297851716699</v>
      </c>
      <c r="N33">
        <f>_xlfn.XLOOKUP($B33,'raw data'!$A:$A,'raw data'!L:L)</f>
        <v>3951.2698760829799</v>
      </c>
      <c r="O33">
        <f t="shared" si="0"/>
        <v>24762.357852542151</v>
      </c>
    </row>
    <row r="34" spans="1:15" x14ac:dyDescent="0.25">
      <c r="B34" t="s">
        <v>20</v>
      </c>
      <c r="G34" t="s">
        <v>60</v>
      </c>
      <c r="H34">
        <v>3450</v>
      </c>
      <c r="I34">
        <v>3900</v>
      </c>
      <c r="J34">
        <v>5550</v>
      </c>
      <c r="K34">
        <v>5400</v>
      </c>
      <c r="L34">
        <v>0</v>
      </c>
      <c r="M34">
        <v>3600</v>
      </c>
      <c r="N34">
        <v>3150</v>
      </c>
      <c r="O34">
        <f t="shared" si="0"/>
        <v>25050</v>
      </c>
    </row>
    <row r="35" spans="1:15" x14ac:dyDescent="0.25">
      <c r="A35" s="2">
        <v>17</v>
      </c>
      <c r="B35" t="s">
        <v>21</v>
      </c>
      <c r="C35" t="s">
        <v>22</v>
      </c>
      <c r="D35">
        <v>2382.0891339504192</v>
      </c>
      <c r="E35">
        <v>2836.6794935983348</v>
      </c>
      <c r="F35">
        <v>30.805129351237031</v>
      </c>
      <c r="G35" t="s">
        <v>5</v>
      </c>
      <c r="H35">
        <f>_xlfn.XLOOKUP($B35,'raw data'!$A:$A,'raw data'!F:F)</f>
        <v>5923.1248045777802</v>
      </c>
      <c r="I35">
        <f>_xlfn.XLOOKUP($B35,'raw data'!$A:$A,'raw data'!G:G)</f>
        <v>6360.1193661398602</v>
      </c>
      <c r="J35">
        <f>_xlfn.XLOOKUP($B35,'raw data'!$A:$A,'raw data'!H:H)</f>
        <v>10833.3955895892</v>
      </c>
      <c r="K35">
        <f>_xlfn.XLOOKUP($B35,'raw data'!$A:$A,'raw data'!I:I)</f>
        <v>9453.2695199441496</v>
      </c>
      <c r="L35">
        <f>_xlfn.XLOOKUP($B35,'raw data'!$A:$A,'raw data'!J:J)</f>
        <v>13288.9029019872</v>
      </c>
      <c r="M35">
        <f>_xlfn.XLOOKUP($B35,'raw data'!$A:$A,'raw data'!K:K)</f>
        <v>4005.5982619466499</v>
      </c>
      <c r="N35">
        <f>_xlfn.XLOOKUP($B35,'raw data'!$A:$A,'raw data'!L:L)</f>
        <v>20330.4522257477</v>
      </c>
      <c r="O35">
        <f t="shared" si="0"/>
        <v>70194.86266993254</v>
      </c>
    </row>
    <row r="36" spans="1:15" x14ac:dyDescent="0.25">
      <c r="B36" t="s">
        <v>21</v>
      </c>
      <c r="G36" t="s">
        <v>60</v>
      </c>
      <c r="H36">
        <v>4200</v>
      </c>
      <c r="I36">
        <v>12000</v>
      </c>
      <c r="J36">
        <v>9600</v>
      </c>
      <c r="K36">
        <v>6000</v>
      </c>
      <c r="L36">
        <v>12000</v>
      </c>
      <c r="M36">
        <v>3000</v>
      </c>
      <c r="N36">
        <v>18000</v>
      </c>
      <c r="O36">
        <f t="shared" si="0"/>
        <v>64800</v>
      </c>
    </row>
    <row r="37" spans="1:15" x14ac:dyDescent="0.25">
      <c r="A37" s="2">
        <v>18</v>
      </c>
      <c r="B37" t="s">
        <v>23</v>
      </c>
      <c r="C37" t="s">
        <v>24</v>
      </c>
      <c r="D37">
        <v>612.43592702386366</v>
      </c>
      <c r="E37">
        <v>718.28157810713992</v>
      </c>
      <c r="F37">
        <v>66.867217029209598</v>
      </c>
      <c r="G37" t="s">
        <v>5</v>
      </c>
      <c r="H37">
        <f>_xlfn.XLOOKUP($B37,'raw data'!$A:$A,'raw data'!F:F)</f>
        <v>1092.13164644675</v>
      </c>
      <c r="I37">
        <f>_xlfn.XLOOKUP($B37,'raw data'!$A:$A,'raw data'!G:G)</f>
        <v>0</v>
      </c>
      <c r="J37">
        <f>_xlfn.XLOOKUP($B37,'raw data'!$A:$A,'raw data'!H:H)</f>
        <v>0</v>
      </c>
      <c r="K37">
        <f>_xlfn.XLOOKUP($B37,'raw data'!$A:$A,'raw data'!I:I)</f>
        <v>0</v>
      </c>
      <c r="L37">
        <f>_xlfn.XLOOKUP($B37,'raw data'!$A:$A,'raw data'!J:J)</f>
        <v>0</v>
      </c>
      <c r="M37">
        <f>_xlfn.XLOOKUP($B37,'raw data'!$A:$A,'raw data'!K:K)</f>
        <v>0</v>
      </c>
      <c r="N37">
        <f>_xlfn.XLOOKUP($B37,'raw data'!$A:$A,'raw data'!L:L)</f>
        <v>0</v>
      </c>
      <c r="O37">
        <f t="shared" si="0"/>
        <v>1092.13164644675</v>
      </c>
    </row>
    <row r="38" spans="1:15" x14ac:dyDescent="0.25">
      <c r="B38" t="s">
        <v>23</v>
      </c>
      <c r="G38" t="s">
        <v>60</v>
      </c>
      <c r="H38">
        <v>2040</v>
      </c>
      <c r="I38">
        <v>960</v>
      </c>
      <c r="J38">
        <v>0</v>
      </c>
      <c r="K38">
        <v>0</v>
      </c>
      <c r="L38">
        <v>0</v>
      </c>
      <c r="M38">
        <v>0</v>
      </c>
      <c r="N38">
        <v>0</v>
      </c>
      <c r="O38">
        <f t="shared" si="0"/>
        <v>3000</v>
      </c>
    </row>
    <row r="39" spans="1:15" x14ac:dyDescent="0.25">
      <c r="A39" s="2">
        <v>19</v>
      </c>
      <c r="B39" t="s">
        <v>25</v>
      </c>
      <c r="C39" t="s">
        <v>26</v>
      </c>
      <c r="D39">
        <v>1539.8361297229981</v>
      </c>
      <c r="E39">
        <v>1748.0411359700061</v>
      </c>
      <c r="F39">
        <v>85.143736389780827</v>
      </c>
      <c r="G39" t="s">
        <v>5</v>
      </c>
      <c r="H39">
        <f>_xlfn.XLOOKUP($B39,'raw data'!$A:$A,'raw data'!F:F)</f>
        <v>2521.4965033909298</v>
      </c>
      <c r="I39">
        <f>_xlfn.XLOOKUP($B39,'raw data'!$A:$A,'raw data'!G:G)</f>
        <v>3107.9216481195399</v>
      </c>
      <c r="J39">
        <f>_xlfn.XLOOKUP($B39,'raw data'!$A:$A,'raw data'!H:H)</f>
        <v>3434.6394051953798</v>
      </c>
      <c r="K39">
        <f>_xlfn.XLOOKUP($B39,'raw data'!$A:$A,'raw data'!I:I)</f>
        <v>3314.5717584987001</v>
      </c>
      <c r="L39">
        <f>_xlfn.XLOOKUP($B39,'raw data'!$A:$A,'raw data'!J:J)</f>
        <v>3204.4016712388302</v>
      </c>
      <c r="M39">
        <f>_xlfn.XLOOKUP($B39,'raw data'!$A:$A,'raw data'!K:K)</f>
        <v>3213.82869829029</v>
      </c>
      <c r="N39">
        <f>_xlfn.XLOOKUP($B39,'raw data'!$A:$A,'raw data'!L:L)</f>
        <v>3242.1634804335999</v>
      </c>
      <c r="O39">
        <f t="shared" si="0"/>
        <v>22039.023165167269</v>
      </c>
    </row>
    <row r="40" spans="1:15" x14ac:dyDescent="0.25">
      <c r="B40" t="s">
        <v>25</v>
      </c>
      <c r="G40" t="s">
        <v>60</v>
      </c>
      <c r="H40">
        <v>1200</v>
      </c>
      <c r="I40">
        <v>4200</v>
      </c>
      <c r="J40">
        <v>3360</v>
      </c>
      <c r="K40">
        <v>1200</v>
      </c>
      <c r="L40">
        <v>1200</v>
      </c>
      <c r="M40">
        <v>1920</v>
      </c>
      <c r="N40">
        <v>6120</v>
      </c>
      <c r="O40">
        <f t="shared" si="0"/>
        <v>19200</v>
      </c>
    </row>
    <row r="41" spans="1:15" x14ac:dyDescent="0.25">
      <c r="A41" s="2">
        <v>20</v>
      </c>
      <c r="B41" t="s">
        <v>28</v>
      </c>
      <c r="C41" t="s">
        <v>15</v>
      </c>
      <c r="D41">
        <v>4179.3864350094555</v>
      </c>
      <c r="E41">
        <v>4558.8898054449564</v>
      </c>
      <c r="F41">
        <v>110.2300068228071</v>
      </c>
      <c r="G41" t="s">
        <v>5</v>
      </c>
      <c r="H41">
        <f>_xlfn.XLOOKUP($B41,'raw data'!$A:$A,'raw data'!F:F)</f>
        <v>9963.3559364953708</v>
      </c>
      <c r="I41">
        <f>_xlfn.XLOOKUP($B41,'raw data'!$A:$A,'raw data'!G:G)</f>
        <v>9093.2496548445797</v>
      </c>
      <c r="J41">
        <f>_xlfn.XLOOKUP($B41,'raw data'!$A:$A,'raw data'!H:H)</f>
        <v>12909.540397209301</v>
      </c>
      <c r="K41">
        <f>_xlfn.XLOOKUP($B41,'raw data'!$A:$A,'raw data'!I:I)</f>
        <v>4701.9320403762604</v>
      </c>
      <c r="L41">
        <f>_xlfn.XLOOKUP($B41,'raw data'!$A:$A,'raw data'!J:J)</f>
        <v>6199.8821535142997</v>
      </c>
      <c r="M41">
        <f>_xlfn.XLOOKUP($B41,'raw data'!$A:$A,'raw data'!K:K)</f>
        <v>10294.2839325519</v>
      </c>
      <c r="N41">
        <f>_xlfn.XLOOKUP($B41,'raw data'!$A:$A,'raw data'!L:L)</f>
        <v>10520.039760236399</v>
      </c>
      <c r="O41">
        <f t="shared" si="0"/>
        <v>63682.28387522811</v>
      </c>
    </row>
    <row r="42" spans="1:15" x14ac:dyDescent="0.25">
      <c r="B42" t="s">
        <v>28</v>
      </c>
      <c r="G42" t="s">
        <v>60</v>
      </c>
      <c r="H42">
        <v>6360</v>
      </c>
      <c r="I42">
        <v>10800</v>
      </c>
      <c r="J42">
        <v>7320</v>
      </c>
      <c r="K42">
        <v>2160</v>
      </c>
      <c r="L42">
        <v>2160</v>
      </c>
      <c r="M42">
        <v>2640</v>
      </c>
      <c r="N42">
        <v>14640</v>
      </c>
      <c r="O42">
        <f t="shared" si="0"/>
        <v>46080</v>
      </c>
    </row>
    <row r="43" spans="1:15" x14ac:dyDescent="0.25">
      <c r="A43" s="2">
        <v>21</v>
      </c>
      <c r="B43" t="s">
        <v>29</v>
      </c>
      <c r="C43" t="s">
        <v>7</v>
      </c>
      <c r="D43">
        <v>813.81425760892671</v>
      </c>
      <c r="E43">
        <v>1042.018799645555</v>
      </c>
      <c r="F43">
        <v>47.058159602282373</v>
      </c>
      <c r="G43" t="s">
        <v>5</v>
      </c>
      <c r="H43">
        <f>_xlfn.XLOOKUP($B43,'raw data'!$A:$A,'raw data'!F:F)</f>
        <v>1999.6856303250299</v>
      </c>
      <c r="I43">
        <f>_xlfn.XLOOKUP($B43,'raw data'!$A:$A,'raw data'!G:G)</f>
        <v>2888.4147530861201</v>
      </c>
      <c r="J43">
        <f>_xlfn.XLOOKUP($B43,'raw data'!$A:$A,'raw data'!H:H)</f>
        <v>2285.4950040644699</v>
      </c>
      <c r="K43">
        <f>_xlfn.XLOOKUP($B43,'raw data'!$A:$A,'raw data'!I:I)</f>
        <v>3438.3164577591301</v>
      </c>
      <c r="L43">
        <f>_xlfn.XLOOKUP($B43,'raw data'!$A:$A,'raw data'!J:J)</f>
        <v>851.06451466724104</v>
      </c>
      <c r="M43">
        <f>_xlfn.XLOOKUP($B43,'raw data'!$A:$A,'raw data'!K:K)</f>
        <v>3980.5226854842699</v>
      </c>
      <c r="N43">
        <f>_xlfn.XLOOKUP($B43,'raw data'!$A:$A,'raw data'!L:L)</f>
        <v>7255.0756350169904</v>
      </c>
      <c r="O43">
        <f t="shared" si="0"/>
        <v>22698.574680403253</v>
      </c>
    </row>
    <row r="44" spans="1:15" x14ac:dyDescent="0.25">
      <c r="B44" t="s">
        <v>29</v>
      </c>
      <c r="G44" t="s">
        <v>60</v>
      </c>
      <c r="H44">
        <v>1800</v>
      </c>
      <c r="I44">
        <v>4320</v>
      </c>
      <c r="J44">
        <v>1200</v>
      </c>
      <c r="K44">
        <v>1440</v>
      </c>
      <c r="L44">
        <v>600</v>
      </c>
      <c r="M44">
        <v>4416</v>
      </c>
      <c r="N44">
        <v>6960</v>
      </c>
      <c r="O44">
        <f t="shared" si="0"/>
        <v>20736</v>
      </c>
    </row>
    <row r="45" spans="1:15" x14ac:dyDescent="0.25">
      <c r="A45" s="2">
        <v>22</v>
      </c>
      <c r="B45" t="s">
        <v>30</v>
      </c>
      <c r="C45" t="s">
        <v>31</v>
      </c>
      <c r="D45">
        <v>1415.177839323253</v>
      </c>
      <c r="E45">
        <v>1806.61819567406</v>
      </c>
      <c r="F45">
        <v>117.61892519584801</v>
      </c>
      <c r="G45" t="s">
        <v>5</v>
      </c>
      <c r="H45">
        <f>_xlfn.XLOOKUP($B45,'raw data'!$A:$A,'raw data'!F:F)</f>
        <v>4146.0107459047003</v>
      </c>
      <c r="I45">
        <f>_xlfn.XLOOKUP($B45,'raw data'!$A:$A,'raw data'!G:G)</f>
        <v>1151.0669590073401</v>
      </c>
      <c r="J45">
        <f>_xlfn.XLOOKUP($B45,'raw data'!$A:$A,'raw data'!H:H)</f>
        <v>923.83478833429797</v>
      </c>
      <c r="K45">
        <f>_xlfn.XLOOKUP($B45,'raw data'!$A:$A,'raw data'!I:I)</f>
        <v>0</v>
      </c>
      <c r="L45">
        <f>_xlfn.XLOOKUP($B45,'raw data'!$A:$A,'raw data'!J:J)</f>
        <v>0</v>
      </c>
      <c r="M45">
        <f>_xlfn.XLOOKUP($B45,'raw data'!$A:$A,'raw data'!K:K)</f>
        <v>1430.41278670672</v>
      </c>
      <c r="N45">
        <f>_xlfn.XLOOKUP($B45,'raw data'!$A:$A,'raw data'!L:L)</f>
        <v>2932.0664673167598</v>
      </c>
      <c r="O45">
        <f t="shared" si="0"/>
        <v>10583.391747269818</v>
      </c>
    </row>
    <row r="46" spans="1:15" x14ac:dyDescent="0.25">
      <c r="B46" t="s">
        <v>30</v>
      </c>
      <c r="G46" t="s">
        <v>60</v>
      </c>
      <c r="H46">
        <v>6960</v>
      </c>
      <c r="I46">
        <v>2160</v>
      </c>
      <c r="J46">
        <v>600</v>
      </c>
      <c r="K46">
        <v>1800</v>
      </c>
      <c r="L46">
        <v>240</v>
      </c>
      <c r="M46">
        <v>3600</v>
      </c>
      <c r="N46">
        <v>2400</v>
      </c>
      <c r="O46">
        <f t="shared" si="0"/>
        <v>17760</v>
      </c>
    </row>
    <row r="47" spans="1:15" x14ac:dyDescent="0.25">
      <c r="A47" s="2">
        <v>23</v>
      </c>
      <c r="B47" t="s">
        <v>32</v>
      </c>
      <c r="C47" t="s">
        <v>13</v>
      </c>
      <c r="D47">
        <v>845.27351296227573</v>
      </c>
      <c r="E47">
        <v>1138.349998467146</v>
      </c>
      <c r="F47">
        <v>30.618483883451749</v>
      </c>
      <c r="G47" t="s">
        <v>5</v>
      </c>
      <c r="H47">
        <f>_xlfn.XLOOKUP($B47,'raw data'!$A:$A,'raw data'!F:F)</f>
        <v>1778.76987522493</v>
      </c>
      <c r="I47">
        <f>_xlfn.XLOOKUP($B47,'raw data'!$A:$A,'raw data'!G:G)</f>
        <v>5917.1944167943002</v>
      </c>
      <c r="J47">
        <f>_xlfn.XLOOKUP($B47,'raw data'!$A:$A,'raw data'!H:H)</f>
        <v>3812.2018106988598</v>
      </c>
      <c r="K47">
        <f>_xlfn.XLOOKUP($B47,'raw data'!$A:$A,'raw data'!I:I)</f>
        <v>3841.67809983287</v>
      </c>
      <c r="L47">
        <f>_xlfn.XLOOKUP($B47,'raw data'!$A:$A,'raw data'!J:J)</f>
        <v>1371.1492304803601</v>
      </c>
      <c r="M47">
        <f>_xlfn.XLOOKUP($B47,'raw data'!$A:$A,'raw data'!K:K)</f>
        <v>5222.4948356329896</v>
      </c>
      <c r="N47">
        <f>_xlfn.XLOOKUP($B47,'raw data'!$A:$A,'raw data'!L:L)</f>
        <v>5728.7111057758202</v>
      </c>
      <c r="O47">
        <f t="shared" ref="O47:O54" si="1">SUM(H47:N47)</f>
        <v>27672.19937444013</v>
      </c>
    </row>
    <row r="48" spans="1:15" x14ac:dyDescent="0.25">
      <c r="B48" t="s">
        <v>32</v>
      </c>
      <c r="G48" t="s">
        <v>60</v>
      </c>
      <c r="H48">
        <v>2400</v>
      </c>
      <c r="I48">
        <v>7800</v>
      </c>
      <c r="J48">
        <v>1680</v>
      </c>
      <c r="K48">
        <v>4080</v>
      </c>
      <c r="L48">
        <v>1200</v>
      </c>
      <c r="M48">
        <v>5040</v>
      </c>
      <c r="N48">
        <v>5040</v>
      </c>
      <c r="O48">
        <f t="shared" si="1"/>
        <v>27240</v>
      </c>
    </row>
    <row r="49" spans="1:15" x14ac:dyDescent="0.25">
      <c r="A49" s="2">
        <v>24</v>
      </c>
      <c r="B49" t="s">
        <v>33</v>
      </c>
      <c r="C49" t="s">
        <v>34</v>
      </c>
      <c r="D49">
        <v>1162.319049978976</v>
      </c>
      <c r="E49">
        <v>1413.76919906798</v>
      </c>
      <c r="F49">
        <v>47.450621527806177</v>
      </c>
      <c r="G49" t="s">
        <v>5</v>
      </c>
      <c r="H49">
        <f>_xlfn.XLOOKUP($B49,'raw data'!$A:$A,'raw data'!F:F)</f>
        <v>2982.7395121434802</v>
      </c>
      <c r="I49">
        <f>_xlfn.XLOOKUP($B49,'raw data'!$A:$A,'raw data'!G:G)</f>
        <v>6666.9488344127503</v>
      </c>
      <c r="J49">
        <f>_xlfn.XLOOKUP($B49,'raw data'!$A:$A,'raw data'!H:H)</f>
        <v>1814.8250100717701</v>
      </c>
      <c r="K49">
        <f>_xlfn.XLOOKUP($B49,'raw data'!$A:$A,'raw data'!I:I)</f>
        <v>4736.0422819263204</v>
      </c>
      <c r="L49">
        <f>_xlfn.XLOOKUP($B49,'raw data'!$A:$A,'raw data'!J:J)</f>
        <v>1510.5258084663899</v>
      </c>
      <c r="M49">
        <f>_xlfn.XLOOKUP($B49,'raw data'!$A:$A,'raw data'!K:K)</f>
        <v>5739.7209641882</v>
      </c>
      <c r="N49">
        <f>_xlfn.XLOOKUP($B49,'raw data'!$A:$A,'raw data'!L:L)</f>
        <v>4921.43288057066</v>
      </c>
      <c r="O49">
        <f t="shared" si="1"/>
        <v>28372.235291779572</v>
      </c>
    </row>
    <row r="50" spans="1:15" x14ac:dyDescent="0.25">
      <c r="B50" t="s">
        <v>33</v>
      </c>
      <c r="G50" t="s">
        <v>60</v>
      </c>
      <c r="H50">
        <v>1200</v>
      </c>
      <c r="I50">
        <v>4200</v>
      </c>
      <c r="J50">
        <v>1200</v>
      </c>
      <c r="K50">
        <v>4800</v>
      </c>
      <c r="L50">
        <v>1800</v>
      </c>
      <c r="M50">
        <v>4320</v>
      </c>
      <c r="N50">
        <v>6420</v>
      </c>
      <c r="O50">
        <f t="shared" si="1"/>
        <v>23940</v>
      </c>
    </row>
    <row r="51" spans="1:15" x14ac:dyDescent="0.25">
      <c r="A51" s="2">
        <v>25</v>
      </c>
      <c r="B51" t="s">
        <v>35</v>
      </c>
      <c r="C51" t="s">
        <v>36</v>
      </c>
      <c r="D51">
        <v>557.60455570700697</v>
      </c>
      <c r="E51">
        <v>646.23996810600215</v>
      </c>
      <c r="F51">
        <v>22.891942167841481</v>
      </c>
      <c r="G51" t="s">
        <v>5</v>
      </c>
      <c r="H51">
        <f>_xlfn.XLOOKUP($B51,'raw data'!$A:$A,'raw data'!F:F)</f>
        <v>2403.2318899490401</v>
      </c>
      <c r="I51">
        <f>_xlfn.XLOOKUP($B51,'raw data'!$A:$A,'raw data'!G:G)</f>
        <v>2403.2318899490401</v>
      </c>
      <c r="J51">
        <f>_xlfn.XLOOKUP($B51,'raw data'!$A:$A,'raw data'!H:H)</f>
        <v>2403.2318899490401</v>
      </c>
      <c r="K51">
        <f>_xlfn.XLOOKUP($B51,'raw data'!$A:$A,'raw data'!I:I)</f>
        <v>2403.2318899490401</v>
      </c>
      <c r="L51">
        <f>_xlfn.XLOOKUP($B51,'raw data'!$A:$A,'raw data'!J:J)</f>
        <v>2403.2318899490401</v>
      </c>
      <c r="M51">
        <f>_xlfn.XLOOKUP($B51,'raw data'!$A:$A,'raw data'!K:K)</f>
        <v>2403.2318899490401</v>
      </c>
      <c r="N51">
        <f>_xlfn.XLOOKUP($B51,'raw data'!$A:$A,'raw data'!L:L)</f>
        <v>2403.2318899490401</v>
      </c>
      <c r="O51">
        <f t="shared" si="1"/>
        <v>16822.623229643279</v>
      </c>
    </row>
    <row r="52" spans="1:15" x14ac:dyDescent="0.25">
      <c r="B52" t="s">
        <v>35</v>
      </c>
      <c r="G52" t="s">
        <v>60</v>
      </c>
      <c r="H52">
        <v>1920</v>
      </c>
      <c r="I52">
        <v>1800</v>
      </c>
      <c r="J52">
        <v>3600</v>
      </c>
      <c r="K52">
        <v>3000</v>
      </c>
      <c r="L52">
        <v>2400</v>
      </c>
      <c r="M52">
        <v>1800</v>
      </c>
      <c r="N52">
        <v>2820</v>
      </c>
      <c r="O52">
        <f t="shared" si="1"/>
        <v>17340</v>
      </c>
    </row>
    <row r="53" spans="1:15" x14ac:dyDescent="0.25">
      <c r="A53" s="2">
        <v>26</v>
      </c>
      <c r="B53" t="s">
        <v>37</v>
      </c>
      <c r="C53" t="s">
        <v>17</v>
      </c>
      <c r="D53">
        <v>500.40376269578962</v>
      </c>
      <c r="E53">
        <v>585.18786845281022</v>
      </c>
      <c r="F53">
        <v>35.183391734850318</v>
      </c>
      <c r="G53" t="s">
        <v>5</v>
      </c>
      <c r="H53">
        <f>_xlfn.XLOOKUP($B53,'raw data'!$A:$A,'raw data'!F:F)</f>
        <v>2140.5652677741</v>
      </c>
      <c r="I53">
        <f>_xlfn.XLOOKUP($B53,'raw data'!$A:$A,'raw data'!G:G)</f>
        <v>2140.5652677741</v>
      </c>
      <c r="J53">
        <f>_xlfn.XLOOKUP($B53,'raw data'!$A:$A,'raw data'!H:H)</f>
        <v>2140.5652677741</v>
      </c>
      <c r="K53">
        <f>_xlfn.XLOOKUP($B53,'raw data'!$A:$A,'raw data'!I:I)</f>
        <v>2140.5652677741</v>
      </c>
      <c r="L53">
        <f>_xlfn.XLOOKUP($B53,'raw data'!$A:$A,'raw data'!J:J)</f>
        <v>2140.5652677741</v>
      </c>
      <c r="M53">
        <f>_xlfn.XLOOKUP($B53,'raw data'!$A:$A,'raw data'!K:K)</f>
        <v>2140.5652677741</v>
      </c>
      <c r="N53">
        <f>_xlfn.XLOOKUP($B53,'raw data'!$A:$A,'raw data'!L:L)</f>
        <v>2140.5652677741</v>
      </c>
      <c r="O53">
        <f t="shared" si="1"/>
        <v>14983.9568744187</v>
      </c>
    </row>
    <row r="54" spans="1:15" x14ac:dyDescent="0.25">
      <c r="B54" t="s">
        <v>37</v>
      </c>
      <c r="G54" t="s">
        <v>60</v>
      </c>
      <c r="H54">
        <v>1920</v>
      </c>
      <c r="I54">
        <v>1560</v>
      </c>
      <c r="J54">
        <v>1560</v>
      </c>
      <c r="K54">
        <v>1800</v>
      </c>
      <c r="L54">
        <v>1320</v>
      </c>
      <c r="M54">
        <v>1200</v>
      </c>
      <c r="N54">
        <v>2160</v>
      </c>
      <c r="O54">
        <f t="shared" si="1"/>
        <v>11520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08F5F-6175-4AF8-988C-3997A00DA48D}">
  <dimension ref="A1:L27"/>
  <sheetViews>
    <sheetView workbookViewId="0">
      <selection activeCell="E17" sqref="E17"/>
    </sheetView>
  </sheetViews>
  <sheetFormatPr baseColWidth="10" defaultRowHeight="15" x14ac:dyDescent="0.25"/>
  <cols>
    <col min="2" max="2" width="28.42578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63</v>
      </c>
    </row>
    <row r="2" spans="1:12" x14ac:dyDescent="0.25">
      <c r="A2" t="s">
        <v>6</v>
      </c>
      <c r="B2" t="s">
        <v>7</v>
      </c>
      <c r="C2">
        <v>3925.7900359975602</v>
      </c>
      <c r="D2">
        <v>4127.5523510104476</v>
      </c>
      <c r="E2">
        <v>25.56942245630032</v>
      </c>
      <c r="F2">
        <v>20140.043042131601</v>
      </c>
      <c r="G2">
        <v>14303.7974486653</v>
      </c>
      <c r="H2">
        <v>11260.9130840488</v>
      </c>
      <c r="I2">
        <v>19622.9073930333</v>
      </c>
      <c r="J2">
        <v>9156.6620061632693</v>
      </c>
      <c r="K2">
        <v>26757.108699014301</v>
      </c>
      <c r="L2">
        <v>21472.594346586699</v>
      </c>
    </row>
    <row r="3" spans="1:12" x14ac:dyDescent="0.25">
      <c r="A3" t="s">
        <v>8</v>
      </c>
      <c r="B3" t="s">
        <v>9</v>
      </c>
      <c r="C3">
        <v>250.8257294371891</v>
      </c>
      <c r="D3">
        <v>290.17225582680391</v>
      </c>
      <c r="E3">
        <v>36.626048430824078</v>
      </c>
      <c r="F3">
        <v>734.79678497152599</v>
      </c>
      <c r="G3">
        <v>1291.1967353232101</v>
      </c>
      <c r="H3">
        <v>868.73114261374894</v>
      </c>
      <c r="I3">
        <v>1212.32032685435</v>
      </c>
      <c r="J3">
        <v>1008.74440972262</v>
      </c>
      <c r="K3">
        <v>915.78988881220903</v>
      </c>
      <c r="L3">
        <v>1211.2349421177701</v>
      </c>
    </row>
    <row r="4" spans="1:12" x14ac:dyDescent="0.25">
      <c r="A4" t="s">
        <v>10</v>
      </c>
      <c r="B4" t="s">
        <v>11</v>
      </c>
      <c r="C4">
        <v>232.01019361116209</v>
      </c>
      <c r="D4">
        <v>321.73949429821857</v>
      </c>
      <c r="E4">
        <v>21.22618517996062</v>
      </c>
      <c r="F4">
        <v>666.51394648544795</v>
      </c>
      <c r="G4">
        <v>1607.1162150749101</v>
      </c>
      <c r="H4">
        <v>570.79605137667795</v>
      </c>
      <c r="I4">
        <v>1247.40175854329</v>
      </c>
      <c r="J4">
        <v>292.20052653809302</v>
      </c>
      <c r="K4">
        <v>1121.8867735896099</v>
      </c>
      <c r="L4">
        <v>1369.52830660259</v>
      </c>
    </row>
    <row r="5" spans="1:12" x14ac:dyDescent="0.25">
      <c r="A5" t="s">
        <v>12</v>
      </c>
      <c r="B5" t="s">
        <v>13</v>
      </c>
      <c r="C5">
        <v>296.26053684072389</v>
      </c>
      <c r="D5">
        <v>356.25712892085892</v>
      </c>
      <c r="E5">
        <v>67.848572106542051</v>
      </c>
      <c r="F5">
        <v>1175.1855275051601</v>
      </c>
      <c r="G5">
        <v>719.44538121288997</v>
      </c>
      <c r="H5">
        <v>506.09647126230198</v>
      </c>
      <c r="I5">
        <v>456.61068974318698</v>
      </c>
      <c r="J5">
        <v>185.90398680864001</v>
      </c>
      <c r="K5">
        <v>422.46998062500302</v>
      </c>
      <c r="L5">
        <v>831.00339929554696</v>
      </c>
    </row>
    <row r="6" spans="1:12" x14ac:dyDescent="0.25">
      <c r="A6" t="s">
        <v>14</v>
      </c>
      <c r="B6" t="s">
        <v>15</v>
      </c>
      <c r="C6">
        <v>160.97657494077799</v>
      </c>
      <c r="D6">
        <v>194.897187182262</v>
      </c>
      <c r="E6">
        <v>51.351086734902431</v>
      </c>
      <c r="F6">
        <v>845.68558744481697</v>
      </c>
      <c r="G6">
        <v>732.09191142891302</v>
      </c>
      <c r="H6">
        <v>436.82903591950901</v>
      </c>
      <c r="I6">
        <v>627.57509524576403</v>
      </c>
      <c r="J6">
        <v>327.05758316067102</v>
      </c>
      <c r="K6">
        <v>499.62943579597999</v>
      </c>
      <c r="L6">
        <v>697.84880155238295</v>
      </c>
    </row>
    <row r="7" spans="1:12" x14ac:dyDescent="0.25">
      <c r="A7" t="s">
        <v>16</v>
      </c>
      <c r="B7" t="s">
        <v>17</v>
      </c>
      <c r="C7">
        <v>939.33386694631668</v>
      </c>
      <c r="D7">
        <v>1067.3594698468521</v>
      </c>
      <c r="E7">
        <v>115.81230879155331</v>
      </c>
      <c r="F7">
        <v>2231.7790228747299</v>
      </c>
      <c r="G7">
        <v>2231.7790228747299</v>
      </c>
      <c r="H7">
        <v>2231.7790228747299</v>
      </c>
      <c r="I7">
        <v>2231.7790228747299</v>
      </c>
      <c r="J7">
        <v>2231.7790228747299</v>
      </c>
      <c r="K7">
        <v>2231.7790228747299</v>
      </c>
      <c r="L7">
        <v>2231.7790228747299</v>
      </c>
    </row>
    <row r="8" spans="1:12" x14ac:dyDescent="0.25">
      <c r="A8" t="s">
        <v>18</v>
      </c>
      <c r="B8" t="s">
        <v>19</v>
      </c>
      <c r="C8">
        <v>309.20839052124751</v>
      </c>
      <c r="D8">
        <v>357.36821809047171</v>
      </c>
      <c r="E8">
        <v>61.033661873628851</v>
      </c>
      <c r="F8">
        <v>1057.2126502485501</v>
      </c>
      <c r="G8">
        <v>943.322188949458</v>
      </c>
      <c r="H8">
        <v>829.43172765036297</v>
      </c>
      <c r="I8">
        <v>715.54126635126795</v>
      </c>
      <c r="J8">
        <v>601.65080505217304</v>
      </c>
      <c r="K8">
        <v>487.760343753077</v>
      </c>
      <c r="L8">
        <v>373.86988245398197</v>
      </c>
    </row>
    <row r="9" spans="1:12" x14ac:dyDescent="0.25">
      <c r="A9" t="s">
        <v>20</v>
      </c>
      <c r="B9" t="s">
        <v>15</v>
      </c>
      <c r="C9">
        <v>629.18048882069616</v>
      </c>
      <c r="D9">
        <v>750.04872498312102</v>
      </c>
      <c r="E9">
        <v>28.77833844436665</v>
      </c>
      <c r="F9">
        <v>3742.52750746639</v>
      </c>
      <c r="G9">
        <v>4196.0784238444903</v>
      </c>
      <c r="H9">
        <v>4539.5347916512301</v>
      </c>
      <c r="I9">
        <v>4098.3174683253901</v>
      </c>
      <c r="J9">
        <v>0</v>
      </c>
      <c r="K9">
        <v>4234.6297851716699</v>
      </c>
      <c r="L9">
        <v>3951.2698760829799</v>
      </c>
    </row>
    <row r="10" spans="1:12" x14ac:dyDescent="0.25">
      <c r="A10" t="s">
        <v>21</v>
      </c>
      <c r="B10" t="s">
        <v>22</v>
      </c>
      <c r="C10">
        <v>2382.0891339504192</v>
      </c>
      <c r="D10">
        <v>2836.6794935983348</v>
      </c>
      <c r="E10">
        <v>30.805129351237031</v>
      </c>
      <c r="F10">
        <v>5923.1248045777802</v>
      </c>
      <c r="G10">
        <v>6360.1193661398602</v>
      </c>
      <c r="H10">
        <v>10833.3955895892</v>
      </c>
      <c r="I10">
        <v>9453.2695199441496</v>
      </c>
      <c r="J10">
        <v>13288.9029019872</v>
      </c>
      <c r="K10">
        <v>4005.5982619466499</v>
      </c>
      <c r="L10">
        <v>20330.4522257477</v>
      </c>
    </row>
    <row r="11" spans="1:12" x14ac:dyDescent="0.25">
      <c r="A11" t="s">
        <v>23</v>
      </c>
      <c r="B11" t="s">
        <v>61</v>
      </c>
      <c r="C11">
        <v>272.5526219361779</v>
      </c>
      <c r="D11">
        <v>509.90957400976498</v>
      </c>
      <c r="E11">
        <v>73.232067489050138</v>
      </c>
      <c r="F11">
        <v>1092.13164644675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25">
      <c r="A12" t="s">
        <v>25</v>
      </c>
      <c r="B12" t="s">
        <v>26</v>
      </c>
      <c r="C12">
        <v>1539.8361297229981</v>
      </c>
      <c r="D12">
        <v>1748.0411359700061</v>
      </c>
      <c r="E12">
        <v>85.143736389780827</v>
      </c>
      <c r="F12">
        <v>2521.4965033909298</v>
      </c>
      <c r="G12">
        <v>3107.9216481195399</v>
      </c>
      <c r="H12">
        <v>3434.6394051953798</v>
      </c>
      <c r="I12">
        <v>3314.5717584987001</v>
      </c>
      <c r="J12">
        <v>3204.4016712388302</v>
      </c>
      <c r="K12">
        <v>3213.82869829029</v>
      </c>
      <c r="L12">
        <v>3242.1634804335999</v>
      </c>
    </row>
    <row r="13" spans="1:12" x14ac:dyDescent="0.25">
      <c r="A13" t="s">
        <v>27</v>
      </c>
      <c r="B13" t="s">
        <v>11</v>
      </c>
      <c r="C13">
        <v>989.15969777489931</v>
      </c>
      <c r="D13">
        <v>1182.289171929961</v>
      </c>
      <c r="E13">
        <v>34.357923627152111</v>
      </c>
      <c r="F13">
        <v>3995.1375678260802</v>
      </c>
      <c r="G13">
        <v>4607.4318767095101</v>
      </c>
      <c r="H13">
        <v>3889.8666971539801</v>
      </c>
      <c r="I13">
        <v>5076.7070167582397</v>
      </c>
      <c r="J13">
        <v>3866.0229964067298</v>
      </c>
      <c r="K13">
        <v>4787.2011234744105</v>
      </c>
      <c r="L13">
        <v>4240.6997191313903</v>
      </c>
    </row>
    <row r="14" spans="1:12" x14ac:dyDescent="0.25">
      <c r="A14" t="s">
        <v>28</v>
      </c>
      <c r="B14" t="s">
        <v>15</v>
      </c>
      <c r="C14">
        <v>4179.3864350094555</v>
      </c>
      <c r="D14">
        <v>4558.8898054449564</v>
      </c>
      <c r="E14">
        <v>110.2300068228071</v>
      </c>
      <c r="F14">
        <v>9963.3559364953708</v>
      </c>
      <c r="G14">
        <v>9093.2496548445797</v>
      </c>
      <c r="H14">
        <v>12909.540397209301</v>
      </c>
      <c r="I14">
        <v>4701.9320403762604</v>
      </c>
      <c r="J14">
        <v>6199.8821535142997</v>
      </c>
      <c r="K14">
        <v>10294.2839325519</v>
      </c>
      <c r="L14">
        <v>10520.039760236399</v>
      </c>
    </row>
    <row r="15" spans="1:12" x14ac:dyDescent="0.25">
      <c r="A15" t="s">
        <v>29</v>
      </c>
      <c r="B15" t="s">
        <v>7</v>
      </c>
      <c r="C15">
        <v>813.81425760892671</v>
      </c>
      <c r="D15">
        <v>1042.018799645555</v>
      </c>
      <c r="E15">
        <v>47.058159602282373</v>
      </c>
      <c r="F15">
        <v>1999.6856303250299</v>
      </c>
      <c r="G15">
        <v>2888.4147530861201</v>
      </c>
      <c r="H15">
        <v>2285.4950040644699</v>
      </c>
      <c r="I15">
        <v>3438.3164577591301</v>
      </c>
      <c r="J15">
        <v>851.06451466724104</v>
      </c>
      <c r="K15">
        <v>3980.5226854842699</v>
      </c>
      <c r="L15">
        <v>7255.0756350169904</v>
      </c>
    </row>
    <row r="16" spans="1:12" x14ac:dyDescent="0.25">
      <c r="A16" t="s">
        <v>30</v>
      </c>
      <c r="B16" t="s">
        <v>62</v>
      </c>
      <c r="C16">
        <v>1174.1346071353109</v>
      </c>
      <c r="D16">
        <v>1414.69771922206</v>
      </c>
      <c r="E16">
        <v>59.601332022101658</v>
      </c>
      <c r="F16">
        <v>4146.0107459047003</v>
      </c>
      <c r="G16">
        <v>1151.0669590073401</v>
      </c>
      <c r="H16">
        <v>923.83478833429797</v>
      </c>
      <c r="I16">
        <v>0</v>
      </c>
      <c r="J16">
        <v>0</v>
      </c>
      <c r="K16">
        <v>1430.41278670672</v>
      </c>
      <c r="L16">
        <v>2932.0664673167598</v>
      </c>
    </row>
    <row r="17" spans="1:12" x14ac:dyDescent="0.25">
      <c r="A17" t="s">
        <v>32</v>
      </c>
      <c r="B17" t="s">
        <v>13</v>
      </c>
      <c r="C17">
        <v>845.27351296227573</v>
      </c>
      <c r="D17">
        <v>1138.349998467146</v>
      </c>
      <c r="E17">
        <v>30.618483883451749</v>
      </c>
      <c r="F17">
        <v>1778.76987522493</v>
      </c>
      <c r="G17">
        <v>5917.1944167943002</v>
      </c>
      <c r="H17">
        <v>3812.2018106988598</v>
      </c>
      <c r="I17">
        <v>3841.67809983287</v>
      </c>
      <c r="J17">
        <v>1371.1492304803601</v>
      </c>
      <c r="K17">
        <v>5222.4948356329896</v>
      </c>
      <c r="L17">
        <v>5728.7111057758202</v>
      </c>
    </row>
    <row r="18" spans="1:12" x14ac:dyDescent="0.25">
      <c r="A18" t="s">
        <v>33</v>
      </c>
      <c r="B18" t="s">
        <v>34</v>
      </c>
      <c r="C18">
        <v>1162.319049978976</v>
      </c>
      <c r="D18">
        <v>1413.76919906798</v>
      </c>
      <c r="E18">
        <v>47.450621527806177</v>
      </c>
      <c r="F18">
        <v>2982.7395121434802</v>
      </c>
      <c r="G18">
        <v>6666.9488344127503</v>
      </c>
      <c r="H18">
        <v>1814.8250100717701</v>
      </c>
      <c r="I18">
        <v>4736.0422819263204</v>
      </c>
      <c r="J18">
        <v>1510.5258084663899</v>
      </c>
      <c r="K18">
        <v>5739.7209641882</v>
      </c>
      <c r="L18">
        <v>4921.43288057066</v>
      </c>
    </row>
    <row r="19" spans="1:12" x14ac:dyDescent="0.25">
      <c r="A19" t="s">
        <v>35</v>
      </c>
      <c r="B19" t="s">
        <v>36</v>
      </c>
      <c r="C19">
        <v>557.60455570700697</v>
      </c>
      <c r="D19">
        <v>646.23996810600215</v>
      </c>
      <c r="E19">
        <v>22.891942167841481</v>
      </c>
      <c r="F19">
        <v>2403.2318899490401</v>
      </c>
      <c r="G19">
        <v>2403.2318899490401</v>
      </c>
      <c r="H19">
        <v>2403.2318899490401</v>
      </c>
      <c r="I19">
        <v>2403.2318899490401</v>
      </c>
      <c r="J19">
        <v>2403.2318899490401</v>
      </c>
      <c r="K19">
        <v>2403.2318899490401</v>
      </c>
      <c r="L19">
        <v>2403.2318899490401</v>
      </c>
    </row>
    <row r="20" spans="1:12" x14ac:dyDescent="0.25">
      <c r="A20" t="s">
        <v>37</v>
      </c>
      <c r="B20" t="s">
        <v>17</v>
      </c>
      <c r="C20">
        <v>500.40376269578962</v>
      </c>
      <c r="D20">
        <v>585.18786845281022</v>
      </c>
      <c r="E20">
        <v>35.183391734850318</v>
      </c>
      <c r="F20">
        <v>2140.5652677741</v>
      </c>
      <c r="G20">
        <v>2140.5652677741</v>
      </c>
      <c r="H20">
        <v>2140.5652677741</v>
      </c>
      <c r="I20">
        <v>2140.5652677741</v>
      </c>
      <c r="J20">
        <v>2140.5652677741</v>
      </c>
      <c r="K20">
        <v>2140.5652677741</v>
      </c>
      <c r="L20">
        <v>2140.5652677741</v>
      </c>
    </row>
    <row r="21" spans="1:12" x14ac:dyDescent="0.25">
      <c r="A21" t="s">
        <v>38</v>
      </c>
      <c r="B21" t="s">
        <v>39</v>
      </c>
      <c r="C21">
        <v>4618.5294569916614</v>
      </c>
      <c r="D21">
        <v>5226.9588533476044</v>
      </c>
      <c r="E21">
        <v>64.938720114147969</v>
      </c>
      <c r="F21">
        <v>13309.390814341299</v>
      </c>
      <c r="G21">
        <v>15675.1027306788</v>
      </c>
      <c r="H21">
        <v>14702.795317026899</v>
      </c>
      <c r="I21">
        <v>18112.4674777654</v>
      </c>
      <c r="J21">
        <v>12228.802102781299</v>
      </c>
      <c r="K21">
        <v>18106.326375964902</v>
      </c>
      <c r="L21">
        <v>12800.412014436701</v>
      </c>
    </row>
    <row r="22" spans="1:12" x14ac:dyDescent="0.25">
      <c r="A22" t="s">
        <v>40</v>
      </c>
      <c r="B22" t="s">
        <v>31</v>
      </c>
      <c r="C22">
        <v>1220.241812445295</v>
      </c>
      <c r="D22">
        <v>1466.6586656585989</v>
      </c>
      <c r="E22">
        <v>32.756126858919252</v>
      </c>
      <c r="F22">
        <v>4957.4492226287202</v>
      </c>
      <c r="G22">
        <v>4961.8857633310799</v>
      </c>
      <c r="H22">
        <v>4933.2799503058704</v>
      </c>
      <c r="I22">
        <v>6242.4814367111203</v>
      </c>
      <c r="J22">
        <v>3715.7896464127598</v>
      </c>
      <c r="K22">
        <v>5772.0540491232496</v>
      </c>
      <c r="L22">
        <v>4654.3834908847502</v>
      </c>
    </row>
    <row r="23" spans="1:12" x14ac:dyDescent="0.25">
      <c r="A23" t="s">
        <v>41</v>
      </c>
      <c r="B23" t="s">
        <v>42</v>
      </c>
      <c r="C23">
        <v>2353.5581309654849</v>
      </c>
      <c r="D23">
        <v>3157.6619219648269</v>
      </c>
      <c r="E23">
        <v>25.146900039977101</v>
      </c>
      <c r="F23">
        <v>17971.561432516901</v>
      </c>
      <c r="G23">
        <v>15494.1502903081</v>
      </c>
      <c r="H23">
        <v>12490.5236338902</v>
      </c>
      <c r="I23">
        <v>17414.343970719099</v>
      </c>
      <c r="J23">
        <v>9431.5799568886105</v>
      </c>
      <c r="K23">
        <v>14568.2022333314</v>
      </c>
      <c r="L23">
        <v>10676.356205575999</v>
      </c>
    </row>
    <row r="24" spans="1:12" x14ac:dyDescent="0.25">
      <c r="A24" t="s">
        <v>43</v>
      </c>
      <c r="B24" t="s">
        <v>44</v>
      </c>
      <c r="C24">
        <v>753.87503631855714</v>
      </c>
      <c r="D24">
        <v>857.07940067147956</v>
      </c>
      <c r="E24">
        <v>37.464813898128398</v>
      </c>
      <c r="F24">
        <v>2527.3798932260802</v>
      </c>
      <c r="G24">
        <v>4513.5878833848601</v>
      </c>
      <c r="H24">
        <v>3127.2099090136799</v>
      </c>
      <c r="I24">
        <v>2544.2735563400602</v>
      </c>
      <c r="J24">
        <v>1728.7633328045899</v>
      </c>
      <c r="K24">
        <v>4501.2910782569197</v>
      </c>
      <c r="L24">
        <v>2608.3784242550901</v>
      </c>
    </row>
    <row r="25" spans="1:12" x14ac:dyDescent="0.25">
      <c r="A25" t="s">
        <v>45</v>
      </c>
      <c r="B25" t="s">
        <v>46</v>
      </c>
      <c r="C25">
        <v>1956.1898671868439</v>
      </c>
      <c r="D25">
        <v>2190.928740080059</v>
      </c>
      <c r="E25">
        <v>34.711814135757031</v>
      </c>
      <c r="F25">
        <v>4080.1186141896301</v>
      </c>
      <c r="G25">
        <v>9145.0015383403406</v>
      </c>
      <c r="H25">
        <v>12825.9965297981</v>
      </c>
      <c r="I25">
        <v>11036.744564045301</v>
      </c>
      <c r="J25">
        <v>6690.0247641287997</v>
      </c>
      <c r="K25">
        <v>13880.5178436646</v>
      </c>
      <c r="L25">
        <v>9885.9639801509693</v>
      </c>
    </row>
    <row r="26" spans="1:12" x14ac:dyDescent="0.25">
      <c r="A26" t="s">
        <v>47</v>
      </c>
      <c r="B26" t="s">
        <v>62</v>
      </c>
      <c r="C26">
        <v>733.68240350499605</v>
      </c>
      <c r="D26">
        <v>1161.7082676094731</v>
      </c>
      <c r="E26">
        <v>55.91017104030108</v>
      </c>
      <c r="F26">
        <v>1764.9262917443</v>
      </c>
      <c r="G26">
        <v>169.06849761800399</v>
      </c>
      <c r="H26">
        <v>368.87775899727399</v>
      </c>
      <c r="I26">
        <v>0</v>
      </c>
      <c r="J26">
        <v>0</v>
      </c>
      <c r="K26">
        <v>0</v>
      </c>
      <c r="L26">
        <v>1374.60472301704</v>
      </c>
    </row>
    <row r="27" spans="1:12" x14ac:dyDescent="0.25">
      <c r="A27" t="s">
        <v>49</v>
      </c>
      <c r="B27" t="s">
        <v>50</v>
      </c>
      <c r="C27">
        <v>462.65278701651039</v>
      </c>
      <c r="D27">
        <v>523.1664641103107</v>
      </c>
      <c r="E27">
        <v>107.072613748397</v>
      </c>
      <c r="F27">
        <v>1103.01041142341</v>
      </c>
      <c r="G27">
        <v>547.12662328239298</v>
      </c>
      <c r="H27">
        <v>532.84290185031705</v>
      </c>
      <c r="I27">
        <v>899.00815805576894</v>
      </c>
      <c r="J27">
        <v>178.327750671193</v>
      </c>
      <c r="K27">
        <v>1030.6103517138799</v>
      </c>
      <c r="L27">
        <v>812.90856672121902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F7637ACF-3239-4DCD-830B-C29E56C08056}">
  <ds:schemaRefs/>
</ds:datastoreItem>
</file>

<file path=customXml/itemProps2.xml><?xml version="1.0" encoding="utf-8"?>
<ds:datastoreItem xmlns:ds="http://schemas.openxmlformats.org/officeDocument/2006/customXml" ds:itemID="{74657136-4BA3-45B5-9F5D-A7236D053D03}">
  <ds:schemaRefs/>
</ds:datastoreItem>
</file>

<file path=customXml/itemProps3.xml><?xml version="1.0" encoding="utf-8"?>
<ds:datastoreItem xmlns:ds="http://schemas.openxmlformats.org/officeDocument/2006/customXml" ds:itemID="{38397E51-AF97-4CD6-92A2-2F8D069D3E08}">
  <ds:schemaRefs/>
</ds:datastoreItem>
</file>

<file path=customXml/itemProps4.xml><?xml version="1.0" encoding="utf-8"?>
<ds:datastoreItem xmlns:ds="http://schemas.openxmlformats.org/officeDocument/2006/customXml" ds:itemID="{FE7CC479-DC22-4634-BA16-32D9A1755A64}">
  <ds:schemaRefs/>
</ds:datastoreItem>
</file>

<file path=customXml/itemProps5.xml><?xml version="1.0" encoding="utf-8"?>
<ds:datastoreItem xmlns:ds="http://schemas.openxmlformats.org/officeDocument/2006/customXml" ds:itemID="{83480261-0343-43FF-B522-5F95E5A49444}">
  <ds:schemaRefs/>
</ds:datastoreItem>
</file>

<file path=customXml/itemProps6.xml><?xml version="1.0" encoding="utf-8"?>
<ds:datastoreItem xmlns:ds="http://schemas.openxmlformats.org/officeDocument/2006/customXml" ds:itemID="{14B7B712-0663-4450-9B8E-AD499730FFA8}">
  <ds:schemaRefs/>
</ds:datastoreItem>
</file>

<file path=customXml/itemProps7.xml><?xml version="1.0" encoding="utf-8"?>
<ds:datastoreItem xmlns:ds="http://schemas.openxmlformats.org/officeDocument/2006/customXml" ds:itemID="{CA0A201E-EB0B-482A-8729-0820DE0F1192}">
  <ds:schemaRefs/>
</ds:datastoreItem>
</file>

<file path=customXml/itemProps8.xml><?xml version="1.0" encoding="utf-8"?>
<ds:datastoreItem xmlns:ds="http://schemas.openxmlformats.org/officeDocument/2006/customXml" ds:itemID="{DDE7201D-CBEE-4941-847E-5E09DFE55219}">
  <ds:schemaRefs/>
</ds:datastoreItem>
</file>

<file path=customXml/itemProps9.xml><?xml version="1.0" encoding="utf-8"?>
<ds:datastoreItem xmlns:ds="http://schemas.openxmlformats.org/officeDocument/2006/customXml" ds:itemID="{80F46845-9EE4-4C14-8CEE-B2C153F7D146}">
  <ds:schemaRefs/>
</ds:datastoreItem>
</file>

<file path=customXml/itemProps10.xml><?xml version="1.0" encoding="utf-8"?>
<ds:datastoreItem xmlns:ds="http://schemas.openxmlformats.org/officeDocument/2006/customXml" ds:itemID="{25C07120-F60F-41C5-8848-2712264D18C3}">
  <ds:schemaRefs/>
</ds:datastoreItem>
</file>

<file path=customXml/itemProps11.xml><?xml version="1.0" encoding="utf-8"?>
<ds:datastoreItem xmlns:ds="http://schemas.openxmlformats.org/officeDocument/2006/customXml" ds:itemID="{D33C3EF4-C9A0-4670-B44D-15BC7E8A9EED}">
  <ds:schemaRefs/>
</ds:datastoreItem>
</file>

<file path=customXml/itemProps12.xml><?xml version="1.0" encoding="utf-8"?>
<ds:datastoreItem xmlns:ds="http://schemas.openxmlformats.org/officeDocument/2006/customXml" ds:itemID="{F73359B8-CC6E-41EF-8FD7-6E7DC6F3C30F}">
  <ds:schemaRefs/>
</ds:datastoreItem>
</file>

<file path=customXml/itemProps13.xml><?xml version="1.0" encoding="utf-8"?>
<ds:datastoreItem xmlns:ds="http://schemas.openxmlformats.org/officeDocument/2006/customXml" ds:itemID="{28F2A2D0-508C-4007-AA7B-BA973307D253}">
  <ds:schemaRefs/>
</ds:datastoreItem>
</file>

<file path=customXml/itemProps14.xml><?xml version="1.0" encoding="utf-8"?>
<ds:datastoreItem xmlns:ds="http://schemas.openxmlformats.org/officeDocument/2006/customXml" ds:itemID="{457BB523-C578-4C70-94A0-F6DDA996EAA7}">
  <ds:schemaRefs/>
</ds:datastoreItem>
</file>

<file path=customXml/itemProps15.xml><?xml version="1.0" encoding="utf-8"?>
<ds:datastoreItem xmlns:ds="http://schemas.openxmlformats.org/officeDocument/2006/customXml" ds:itemID="{334C172A-8370-4F76-A6E0-D7E0C18D512D}">
  <ds:schemaRefs/>
</ds:datastoreItem>
</file>

<file path=customXml/itemProps16.xml><?xml version="1.0" encoding="utf-8"?>
<ds:datastoreItem xmlns:ds="http://schemas.openxmlformats.org/officeDocument/2006/customXml" ds:itemID="{C86FEBF5-687A-4C07-878A-3329454F5B1C}">
  <ds:schemaRefs/>
</ds:datastoreItem>
</file>

<file path=customXml/itemProps17.xml><?xml version="1.0" encoding="utf-8"?>
<ds:datastoreItem xmlns:ds="http://schemas.openxmlformats.org/officeDocument/2006/customXml" ds:itemID="{84979D01-5CD5-42CB-A868-10208A68D865}">
  <ds:schemaRefs>
    <ds:schemaRef ds:uri="http://schemas.microsoft.com/DataMashup"/>
  </ds:schemaRefs>
</ds:datastoreItem>
</file>

<file path=customXml/itemProps18.xml><?xml version="1.0" encoding="utf-8"?>
<ds:datastoreItem xmlns:ds="http://schemas.openxmlformats.org/officeDocument/2006/customXml" ds:itemID="{806BDB6F-4839-4D55-8540-1C04BFD24F9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pivot table</vt:lpstr>
      <vt:lpstr>transformed data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Felipe Cano Larrahondo</dc:creator>
  <cp:lastModifiedBy>Andrés Felipe Cano Larrahondo</cp:lastModifiedBy>
  <dcterms:created xsi:type="dcterms:W3CDTF">2025-06-21T15:56:39Z</dcterms:created>
  <dcterms:modified xsi:type="dcterms:W3CDTF">2025-06-22T23:39:12Z</dcterms:modified>
</cp:coreProperties>
</file>