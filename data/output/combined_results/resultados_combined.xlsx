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output\combined_results\"/>
    </mc:Choice>
  </mc:AlternateContent>
  <xr:revisionPtr revIDLastSave="0" documentId="13_ncr:1_{DFF4F4E9-DFEF-4045-91C5-EFA0350CDDA3}" xr6:coauthVersionLast="47" xr6:coauthVersionMax="47" xr10:uidLastSave="{00000000-0000-0000-0000-000000000000}"/>
  <bookViews>
    <workbookView xWindow="-120" yWindow="-120" windowWidth="38640" windowHeight="15720" xr2:uid="{E5658DFA-635C-4AD7-BC6C-8D92FFF90877}"/>
  </bookViews>
  <sheets>
    <sheet name="Tabla Resumen" sheetId="7" r:id="rId1"/>
    <sheet name="pivot table 2" sheetId="6" r:id="rId2"/>
    <sheet name="pivot table" sheetId="3" r:id="rId3"/>
    <sheet name="transformed data" sheetId="1" r:id="rId4"/>
    <sheet name="raw data results" sheetId="5" r:id="rId5"/>
  </sheets>
  <definedNames>
    <definedName name="_xlnm._FilterDatabase" localSheetId="3" hidden="1">'transformed data'!$A$2:$O$158</definedName>
    <definedName name="SegmentaciónDeDatos_SKU">#N/A</definedName>
    <definedName name="SegmentaciónDeDatos_SKU1">#N/A</definedName>
    <definedName name="SegmentaciónDeDatos_SKU2">#N/A</definedName>
  </definedNames>
  <calcPr calcId="191029"/>
  <pivotCaches>
    <pivotCache cacheId="20" r:id="rId6"/>
    <pivotCache cacheId="44" r:id="rId7"/>
    <pivotCache cacheId="62" r:id="rId8"/>
  </pivotCaches>
  <extLst>
    <ext xmlns:x14="http://schemas.microsoft.com/office/spreadsheetml/2009/9/main" uri="{876F7934-8845-4945-9796-88D515C7AA90}">
      <x14:pivotCaches>
        <pivotCache cacheId="2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8" i="1" l="1"/>
  <c r="O156" i="1"/>
  <c r="O154" i="1"/>
  <c r="O153" i="1"/>
  <c r="O152" i="1"/>
  <c r="O151" i="1"/>
  <c r="O150" i="1"/>
  <c r="O149" i="1"/>
  <c r="O148" i="1"/>
  <c r="O146" i="1"/>
  <c r="O144" i="1"/>
  <c r="O142" i="1"/>
  <c r="O140" i="1"/>
  <c r="O139" i="1"/>
  <c r="O138" i="1"/>
  <c r="O136" i="1"/>
  <c r="O134" i="1"/>
  <c r="O133" i="1"/>
  <c r="O132" i="1"/>
  <c r="O130" i="1"/>
  <c r="O128" i="1"/>
  <c r="O126" i="1"/>
  <c r="O124" i="1"/>
  <c r="O122" i="1"/>
  <c r="O120" i="1"/>
  <c r="O118" i="1"/>
  <c r="O117" i="1"/>
  <c r="O116" i="1"/>
  <c r="O114" i="1"/>
  <c r="O112" i="1"/>
  <c r="O110" i="1"/>
  <c r="O109" i="1"/>
  <c r="O108" i="1"/>
  <c r="N53" i="1"/>
  <c r="M53" i="1"/>
  <c r="L53" i="1"/>
  <c r="K53" i="1"/>
  <c r="J53" i="1"/>
  <c r="I53" i="1"/>
  <c r="H53" i="1"/>
  <c r="N51" i="1"/>
  <c r="M51" i="1"/>
  <c r="L51" i="1"/>
  <c r="K51" i="1"/>
  <c r="J51" i="1"/>
  <c r="I51" i="1"/>
  <c r="H51" i="1"/>
  <c r="N49" i="1"/>
  <c r="M49" i="1"/>
  <c r="L49" i="1"/>
  <c r="K49" i="1"/>
  <c r="J49" i="1"/>
  <c r="I49" i="1"/>
  <c r="H49" i="1"/>
  <c r="N47" i="1"/>
  <c r="M47" i="1"/>
  <c r="L47" i="1"/>
  <c r="K47" i="1"/>
  <c r="J47" i="1"/>
  <c r="I47" i="1"/>
  <c r="H47" i="1"/>
  <c r="N45" i="1"/>
  <c r="M45" i="1"/>
  <c r="L45" i="1"/>
  <c r="K45" i="1"/>
  <c r="J45" i="1"/>
  <c r="I45" i="1"/>
  <c r="H45" i="1"/>
  <c r="N43" i="1"/>
  <c r="M43" i="1"/>
  <c r="L43" i="1"/>
  <c r="K43" i="1"/>
  <c r="J43" i="1"/>
  <c r="I43" i="1"/>
  <c r="H43" i="1"/>
  <c r="N41" i="1"/>
  <c r="M41" i="1"/>
  <c r="L41" i="1"/>
  <c r="K41" i="1"/>
  <c r="J41" i="1"/>
  <c r="I41" i="1"/>
  <c r="H41" i="1"/>
  <c r="N39" i="1"/>
  <c r="M39" i="1"/>
  <c r="L39" i="1"/>
  <c r="K39" i="1"/>
  <c r="J39" i="1"/>
  <c r="I39" i="1"/>
  <c r="H39" i="1"/>
  <c r="N37" i="1"/>
  <c r="M37" i="1"/>
  <c r="L37" i="1"/>
  <c r="K37" i="1"/>
  <c r="J37" i="1"/>
  <c r="I37" i="1"/>
  <c r="H37" i="1"/>
  <c r="N35" i="1"/>
  <c r="M35" i="1"/>
  <c r="L35" i="1"/>
  <c r="K35" i="1"/>
  <c r="J35" i="1"/>
  <c r="I35" i="1"/>
  <c r="H35" i="1"/>
  <c r="N33" i="1"/>
  <c r="M33" i="1"/>
  <c r="L33" i="1"/>
  <c r="K33" i="1"/>
  <c r="J33" i="1"/>
  <c r="I33" i="1"/>
  <c r="H33" i="1"/>
  <c r="N31" i="1"/>
  <c r="M31" i="1"/>
  <c r="L31" i="1"/>
  <c r="K31" i="1"/>
  <c r="J31" i="1"/>
  <c r="I31" i="1"/>
  <c r="H31" i="1"/>
  <c r="N29" i="1"/>
  <c r="M29" i="1"/>
  <c r="L29" i="1"/>
  <c r="K29" i="1"/>
  <c r="J29" i="1"/>
  <c r="I29" i="1"/>
  <c r="H29" i="1"/>
  <c r="N27" i="1"/>
  <c r="M27" i="1"/>
  <c r="L27" i="1"/>
  <c r="K27" i="1"/>
  <c r="J27" i="1"/>
  <c r="I27" i="1"/>
  <c r="H27" i="1"/>
  <c r="N25" i="1"/>
  <c r="M25" i="1"/>
  <c r="L25" i="1"/>
  <c r="K25" i="1"/>
  <c r="J25" i="1"/>
  <c r="I25" i="1"/>
  <c r="H25" i="1"/>
  <c r="N23" i="1"/>
  <c r="M23" i="1"/>
  <c r="L23" i="1"/>
  <c r="K23" i="1"/>
  <c r="J23" i="1"/>
  <c r="I23" i="1"/>
  <c r="H23" i="1"/>
  <c r="N21" i="1"/>
  <c r="M21" i="1"/>
  <c r="L21" i="1"/>
  <c r="K21" i="1"/>
  <c r="J21" i="1"/>
  <c r="I21" i="1"/>
  <c r="H21" i="1"/>
  <c r="N19" i="1"/>
  <c r="M19" i="1"/>
  <c r="L19" i="1"/>
  <c r="K19" i="1"/>
  <c r="J19" i="1"/>
  <c r="I19" i="1"/>
  <c r="H19" i="1"/>
  <c r="N17" i="1"/>
  <c r="M17" i="1"/>
  <c r="L17" i="1"/>
  <c r="K17" i="1"/>
  <c r="J17" i="1"/>
  <c r="I17" i="1"/>
  <c r="H17" i="1"/>
  <c r="N15" i="1"/>
  <c r="M15" i="1"/>
  <c r="L15" i="1"/>
  <c r="K15" i="1"/>
  <c r="J15" i="1"/>
  <c r="I15" i="1"/>
  <c r="H15" i="1"/>
  <c r="N13" i="1"/>
  <c r="M13" i="1"/>
  <c r="L13" i="1"/>
  <c r="K13" i="1"/>
  <c r="J13" i="1"/>
  <c r="I13" i="1"/>
  <c r="H13" i="1"/>
  <c r="N11" i="1"/>
  <c r="M11" i="1"/>
  <c r="L11" i="1"/>
  <c r="K11" i="1"/>
  <c r="J11" i="1"/>
  <c r="I11" i="1"/>
  <c r="H11" i="1"/>
  <c r="N9" i="1"/>
  <c r="M9" i="1"/>
  <c r="L9" i="1"/>
  <c r="K9" i="1"/>
  <c r="J9" i="1"/>
  <c r="I9" i="1"/>
  <c r="H9" i="1"/>
  <c r="N7" i="1"/>
  <c r="M7" i="1"/>
  <c r="L7" i="1"/>
  <c r="K7" i="1"/>
  <c r="J7" i="1"/>
  <c r="I7" i="1"/>
  <c r="H7" i="1"/>
  <c r="N5" i="1"/>
  <c r="M5" i="1"/>
  <c r="L5" i="1"/>
  <c r="K5" i="1"/>
  <c r="J5" i="1"/>
  <c r="I5" i="1"/>
  <c r="H5" i="1"/>
  <c r="N3" i="1"/>
  <c r="M3" i="1"/>
  <c r="L3" i="1"/>
  <c r="K3" i="1"/>
  <c r="J3" i="1"/>
  <c r="I3" i="1"/>
  <c r="H3" i="1"/>
  <c r="O52" i="1"/>
  <c r="O50" i="1"/>
  <c r="O48" i="1"/>
  <c r="O46" i="1"/>
  <c r="O44" i="1"/>
  <c r="O42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0" i="1"/>
  <c r="O36" i="1"/>
  <c r="O38" i="1"/>
  <c r="O54" i="1"/>
  <c r="O119" i="1" l="1"/>
  <c r="O157" i="1"/>
  <c r="O155" i="1"/>
  <c r="O135" i="1"/>
  <c r="O137" i="1"/>
  <c r="O107" i="1"/>
  <c r="O111" i="1"/>
  <c r="O113" i="1"/>
  <c r="O115" i="1"/>
  <c r="O123" i="1"/>
  <c r="O125" i="1"/>
  <c r="O127" i="1"/>
  <c r="O129" i="1"/>
  <c r="O131" i="1"/>
  <c r="O121" i="1"/>
  <c r="O141" i="1"/>
  <c r="O143" i="1"/>
  <c r="O145" i="1"/>
  <c r="O147" i="1"/>
  <c r="O3" i="1"/>
  <c r="O4" i="1"/>
  <c r="O7" i="1"/>
  <c r="O19" i="1"/>
  <c r="O51" i="1"/>
  <c r="O5" i="1"/>
  <c r="O17" i="1"/>
  <c r="O49" i="1"/>
  <c r="O33" i="1"/>
  <c r="O15" i="1"/>
  <c r="O31" i="1"/>
  <c r="O47" i="1"/>
  <c r="O13" i="1"/>
  <c r="O29" i="1"/>
  <c r="O45" i="1"/>
  <c r="O25" i="1"/>
  <c r="O41" i="1"/>
  <c r="O9" i="1"/>
  <c r="O39" i="1"/>
  <c r="O35" i="1"/>
  <c r="O11" i="1"/>
  <c r="O27" i="1"/>
  <c r="O43" i="1"/>
  <c r="O23" i="1"/>
  <c r="O21" i="1"/>
  <c r="O37" i="1"/>
  <c r="O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<sst xmlns="http://schemas.openxmlformats.org/spreadsheetml/2006/main" count="733" uniqueCount="111">
  <si>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</si>
  <si>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</si>
  <si>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</si>
  <si>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</si>
  <si>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</si>
  <si>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</si>
  <si>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</si>
  <si>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</si>
  <si>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</si>
  <si>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</si>
  <si>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</si>
  <si>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</si>
  <si>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</si>
  <si>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</si>
  <si>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</si>
  <si>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</si>
  <si>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</si>
  <si>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</si>
  <si>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</si>
  <si>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</si>
  <si>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</si>
  <si>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</si>
  <si>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</si>
  <si>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</si>
  <si>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</si>
  <si>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</si>
  <si>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</si>
  <si>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</si>
  <si>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</si>
  <si>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</si>
  <si>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</si>
  <si>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</si>
  <si>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</si>
  <si>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</si>
  <si>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</si>
  <si>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</si>
  <si>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</si>
  <si>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</si>
  <si>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</si>
  <si>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</si>
  <si>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</si>
  <si>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</si>
  <si>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</si>
  <si>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</si>
  <si>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</si>
  <si>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</si>
  <si>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</si>
  <si>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</si>
  <si>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</si>
  <si>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</si>
  <si>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</si>
  <si>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</si>
  <si>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</si>
  <si>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</si>
  <si>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</si>
  <si>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</si>
  <si>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</si>
  <si>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</si>
  <si>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Group</t>
  </si>
  <si>
    <t>Pedidos</t>
  </si>
  <si>
    <t>Total</t>
  </si>
  <si>
    <t>WMAPE</t>
  </si>
  <si>
    <t>Forecast (Und)</t>
  </si>
  <si>
    <t>Pedidos (Und)</t>
  </si>
  <si>
    <t>Producto</t>
  </si>
  <si>
    <t>Bias %</t>
  </si>
  <si>
    <t>MAPE  %</t>
  </si>
  <si>
    <t>Modelo</t>
  </si>
  <si>
    <t>forecast</t>
  </si>
  <si>
    <t>HW-Trend(add)-seasonal(add)-a0.05-b0.2-g0.25</t>
  </si>
  <si>
    <t>HW-Trend(add)-seasonal(add)-a0.21-b0.05-g0.16</t>
  </si>
  <si>
    <t>HW-Trend(add)-seasonal(add)-a0.05-b0.17-g0.09</t>
  </si>
  <si>
    <t>ARIMA(p1-d0-q2)</t>
  </si>
  <si>
    <t>HW-Trend(add)-seasonal(add)-a0.07-b0.09-g0.07</t>
  </si>
  <si>
    <t>HW-Trend(add)-seasonal(add)-a0.05-b0.2-g0.05</t>
  </si>
  <si>
    <t>HW-Trend(add)-seasonal(add)-a0.05-b0.22-g0.11</t>
  </si>
  <si>
    <t>HW-Trend(add)-seasonal(add)-a0.35-b0.14-g0.05</t>
  </si>
  <si>
    <t>HW-Trend(add)-seasonal(add)-a0.05-b0.17-g0.05</t>
  </si>
  <si>
    <t>ARIMA(p2-d0-q2)</t>
  </si>
  <si>
    <t>HW-Trend(add)-seasonal(add)-a0.05-b0.89-g0.1</t>
  </si>
  <si>
    <t>HW-Trend(add)-seasonal(mul)-a0.05-b0.2-g0.06</t>
  </si>
  <si>
    <t>HW-Trend(add)-seasonal(add)-a0.59-b0.58-g0.11</t>
  </si>
  <si>
    <t>HW-Trend(add)-seasonal(add)-a0.05-b0.07-g0.05</t>
  </si>
  <si>
    <t>HW-Trend(add)-seasonal(add)-a0.05-b0.27-g0.18</t>
  </si>
  <si>
    <t>HW-Trend(add)-seasonal(add)-a0.15-b0.05-g0.11</t>
  </si>
  <si>
    <t>HW-Trend(add)-seasonal(add)-a0.05-b0.33-g0.18</t>
  </si>
  <si>
    <t>HW-Trend(add)-seasonal(add)-a0.09-b0.05-g0.64</t>
  </si>
  <si>
    <t>ARIMA(p1-d1-q2)</t>
  </si>
  <si>
    <t>ARIMA(p2-d0-q1)</t>
  </si>
  <si>
    <t>HW-Trend(add)-seasonal(mul)-a0.05-b0.56-g0.14</t>
  </si>
  <si>
    <t>ARIMA(p0-d0-q1)</t>
  </si>
  <si>
    <t>HW-Trend(add)-seasonal(add)-a0.84-b0.21-g0.66</t>
  </si>
  <si>
    <t>HW-Trend(add)-seasonal(add)-a0.05-b0.2-g0.08</t>
  </si>
  <si>
    <t>Method</t>
  </si>
  <si>
    <t>Ventana Recursiva</t>
  </si>
  <si>
    <t>Ventana Fija</t>
  </si>
  <si>
    <t>Regresores</t>
  </si>
  <si>
    <t>Ventana Fija ST</t>
  </si>
  <si>
    <t>Ventana Recursiva ST</t>
  </si>
  <si>
    <t/>
  </si>
  <si>
    <t>Modelo Ganador</t>
  </si>
  <si>
    <t>HW-add-add-a0.4-b0.6-g0.4</t>
  </si>
  <si>
    <t>HW-add-add-a0.2-b0.4-g0.2</t>
  </si>
  <si>
    <t>HW-add-None-a0.6-b0.8-g0.2</t>
  </si>
  <si>
    <t>HW-add-add-a0.2-b0.6-g0.2</t>
  </si>
  <si>
    <t>HW-None-None-a0.2-b0.2-g0.2</t>
  </si>
  <si>
    <t>HW-add-add-a0.4-b0.8-g0.4</t>
  </si>
  <si>
    <t>XGBRegressor</t>
  </si>
  <si>
    <t>KNeighborsRegressor</t>
  </si>
  <si>
    <t>ElasticNet</t>
  </si>
  <si>
    <t>RandomForestRegressor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</si>
</sst>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0" fontId="4" fillId="2" borderId="3" xfId="0" applyFont="1" applyFill="1" applyBorder="1"/>
    <xf numFmtId="0" fontId="4" fillId="2" borderId="0" xfId="0" applyFont="1" applyFill="1"/>
    <xf numFmtId="9" fontId="0" fillId="3" borderId="0" xfId="0" applyNumberFormat="1" applyFill="1"/>
  </cellXfs>
  <cellStyles count="1">
    <cellStyle name="Normal" xfId="0" builtinId="0"/>
  </cellStyles>
  <dxfs count="84"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3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8982</xdr:colOff>
      <xdr:row>5</xdr:row>
      <xdr:rowOff>100819</xdr:rowOff>
    </xdr:from>
    <xdr:to>
      <xdr:col>19</xdr:col>
      <xdr:colOff>592536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KU 2">
              <a:extLst>
                <a:ext uri="{FF2B5EF4-FFF2-40B4-BE49-F238E27FC236}">
                  <a16:creationId xmlns:a16="http://schemas.microsoft.com/office/drawing/2014/main" id="{85148B77-F965-4E37-B49A-C663DD946D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47765" y="1053319"/>
              <a:ext cx="1834228" cy="351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58677</xdr:colOff>
      <xdr:row>1</xdr:row>
      <xdr:rowOff>125667</xdr:rowOff>
    </xdr:from>
    <xdr:to>
      <xdr:col>12</xdr:col>
      <xdr:colOff>273326</xdr:colOff>
      <xdr:row>27</xdr:row>
      <xdr:rowOff>140804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KU 1">
              <a:extLst>
                <a:ext uri="{FF2B5EF4-FFF2-40B4-BE49-F238E27FC236}">
                  <a16:creationId xmlns:a16="http://schemas.microsoft.com/office/drawing/2014/main" id="{B68F32E4-183C-42A6-A7A7-08ECBACB3C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6786" y="316167"/>
              <a:ext cx="2658018" cy="49681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8982</xdr:colOff>
      <xdr:row>5</xdr:row>
      <xdr:rowOff>100819</xdr:rowOff>
    </xdr:from>
    <xdr:to>
      <xdr:col>19</xdr:col>
      <xdr:colOff>592536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91243" y="1053319"/>
              <a:ext cx="1834228" cy="3518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894613425924" createdVersion="5" refreshedVersion="8" minRefreshableVersion="3" recordCount="0" supportSubquery="1" supportAdvancedDrill="1" xr:uid="{96A96075-BF75-4440-BB03-DBC4E3FC5B32}">
  <cacheSource type="external" connectionId="2"/>
  <cacheFields count="8">
    <cacheField name="[Tabla1].[SKU].[SKU]" caption="SKU" numFmtId="0" hierarchy="1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2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5" level="32767"/>
    <cacheField name="[Measures].[Suma de Pedidos]" caption="Suma de Pedidos" numFmtId="0" hierarchy="6" level="32767"/>
    <cacheField name="[Measures].[WMAPE]" caption="WMAPE" numFmtId="0" hierarchy="7" level="32767"/>
    <cacheField name="[Measures].[Bias %]" caption="Bias %" numFmtId="0" hierarchy="9" level="32767"/>
    <cacheField name="[Measures].[MAPE Total %]" caption="MAPE Total %" numFmtId="0" hierarchy="10" level="32767"/>
    <cacheField name="[Tabla1].[Method].[Method]" caption="Method" numFmtId="0" level="1">
      <sharedItems count="3">
        <s v="Regresores"/>
        <s v="Ventana Fija"/>
        <s v="Ventana Recursiva"/>
      </sharedItems>
    </cacheField>
  </cacheFields>
  <cacheHierarchies count="13">
    <cacheHierarchy uniqueName="[Tabla1].[Method]" caption="Method" attribute="1" defaultMemberUniqueName="[Tabla1].[Method].[All]" allUniqueName="[Tabla1].[Method].[All]" dimensionUniqueName="[Tabla1]" displayFolder="" count="2" memberValueDatatype="130" unbalanced="0">
      <fieldsUsage count="2">
        <fieldUsage x="-1"/>
        <fieldUsage x="7"/>
      </fieldsUsage>
    </cacheHierarchy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900472337962" createdVersion="5" refreshedVersion="8" minRefreshableVersion="3" recordCount="0" supportSubquery="1" supportAdvancedDrill="1" xr:uid="{C4CB9743-F4F7-4E3B-BA8D-6E96F57B95F5}">
  <cacheSource type="external" connectionId="2"/>
  <cacheFields count="8">
    <cacheField name="[Tabla1].[SKU].[SKU]" caption="SKU" numFmtId="0" hierarchy="1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2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5" level="32767"/>
    <cacheField name="[Measures].[Suma de Pedidos]" caption="Suma de Pedidos" numFmtId="0" hierarchy="6" level="32767"/>
    <cacheField name="[Measures].[WMAPE]" caption="WMAPE" numFmtId="0" hierarchy="7" level="32767"/>
    <cacheField name="[Measures].[Bias %]" caption="Bias %" numFmtId="0" hierarchy="9" level="32767"/>
    <cacheField name="[Measures].[MAPE Total %]" caption="MAPE Total %" numFmtId="0" hierarchy="10" level="32767"/>
    <cacheField name="[Tabla1].[Method].[Method]" caption="Method" numFmtId="0" level="1">
      <sharedItems count="3">
        <s v="Regresores"/>
        <s v="Ventana Fija"/>
        <s v="Ventana Recursiva"/>
      </sharedItems>
    </cacheField>
  </cacheFields>
  <cacheHierarchies count="13">
    <cacheHierarchy uniqueName="[Tabla1].[Method]" caption="Method" attribute="1" defaultMemberUniqueName="[Tabla1].[Method].[All]" allUniqueName="[Tabla1].[Method].[All]" dimensionUniqueName="[Tabla1]" displayFolder="" count="2" memberValueDatatype="130" unbalanced="0">
      <fieldsUsage count="2">
        <fieldUsage x="-1"/>
        <fieldUsage x="7"/>
      </fieldsUsage>
    </cacheHierarchy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905004976848" createdVersion="5" refreshedVersion="8" minRefreshableVersion="3" recordCount="0" supportSubquery="1" supportAdvancedDrill="1" xr:uid="{4724170F-5532-4ACA-8E9D-B85E0DB8A40C}">
  <cacheSource type="external" connectionId="2"/>
  <cacheFields count="3">
    <cacheField name="[Tabla1].[SKU].[SKU]" caption="SKU" numFmtId="0" hierarchy="1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Measures].[MAPE Total %]" caption="MAPE Total %" numFmtId="0" hierarchy="10" level="32767"/>
    <cacheField name="[Tabla1].[Method].[Method]" caption="Method" numFmtId="0" level="1">
      <sharedItems count="3">
        <s v="Regresores"/>
        <s v="Ventana Fija"/>
        <s v="Ventana Recursiva"/>
      </sharedItems>
    </cacheField>
  </cacheFields>
  <cacheHierarchies count="13">
    <cacheHierarchy uniqueName="[Tabla1].[Method]" caption="Method" attribute="1" defaultMemberUniqueName="[Tabla1].[Method].[All]" allUniqueName="[Tabla1].[Method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 oneField="1">
      <fieldsUsage count="1">
        <fieldUsage x="1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863342939818" createdVersion="3" refreshedVersion="8" minRefreshableVersion="3" recordCount="0" supportSubquery="1" supportAdvancedDrill="1" xr:uid="{24C6D21B-A7A9-4273-8A7B-CADF0B13AC15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3">
    <cacheHierarchy uniqueName="[Tabla1].[Method]" caption="Method" attribute="1" defaultMemberUniqueName="[Tabla1].[Method].[All]" allUniqueName="[Tabla1].[Method].[All]" dimensionUniqueName="[Tabla1]" displayFolder="" count="0" memberValueDatatype="130" unbalanced="0"/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82719865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7CCDB-F315-4CA8-B4A3-382A6EFEBA97}" name="TablaDinámica1" cacheId="62" applyNumberFormats="0" applyBorderFormats="0" applyFontFormats="0" applyPatternFormats="0" applyAlignmentFormats="0" applyWidthHeightFormats="1" dataCaption="Valores" tag="06b31c9a-f5b4-42d2-8113-81d4c4a2c663" updatedVersion="8" minRefreshableVersion="3" useAutoFormatting="1" rowGrandTotals="0" colGrandTotals="0" itemPrintTitles="1" createdVersion="5" indent="0" outline="1" outlineData="1" multipleFieldFilters="0" rowHeaderCaption="Producto" colHeaderCaption="">
  <location ref="B3:E30" firstHeaderRow="1" firstDataRow="2" firstDataCol="1"/>
  <pivotFields count="3">
    <pivotField axis="axisRow" allDrilled="1" showAll="0" dataSourceSort="1">
      <items count="2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t="default"/>
      </items>
    </pivotField>
    <pivotField dataField="1" subtotalTop="0" showAll="0" defaultSubtota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1">
    <field x="2"/>
  </colFields>
  <colItems count="3">
    <i>
      <x/>
    </i>
    <i>
      <x v="1"/>
    </i>
    <i>
      <x v="2"/>
    </i>
  </colItems>
  <dataFields count="1">
    <dataField name="MAPE  %" fld="1" subtotal="count" baseField="0" baseItem="0" numFmtId="9"/>
  </dataFields>
  <formats count="27"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0" count="1">
            <x v="0"/>
          </reference>
          <reference field="2" count="1" selected="0">
            <x v="1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0" count="1">
            <x v="1"/>
          </reference>
          <reference field="2" count="1" selected="0">
            <x v="1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0" count="1">
            <x v="2"/>
          </reference>
          <reference field="2" count="1" selected="0">
            <x v="1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0" count="1">
            <x v="3"/>
          </reference>
          <reference field="2" count="1" selected="0">
            <x v="1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0" count="1">
            <x v="4"/>
          </reference>
          <reference field="2" count="1" selected="0">
            <x v="1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0"/>
          </reference>
          <reference field="0" count="1">
            <x v="5"/>
          </reference>
          <reference field="2" count="1" selected="0">
            <x v="1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0" count="1">
            <x v="6"/>
          </reference>
          <reference field="2" count="1" selected="0">
            <x v="0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0"/>
          </reference>
          <reference field="0" count="1">
            <x v="7"/>
          </reference>
          <reference field="2" count="1" selected="0">
            <x v="1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0" count="1">
            <x v="8"/>
          </reference>
          <reference field="2" count="1" selected="0">
            <x v="1"/>
          </reference>
        </references>
      </pivotArea>
    </format>
    <format dxfId="37">
      <pivotArea collapsedLevelsAreSubtotals="1" fieldPosition="0">
        <references count="3">
          <reference field="4294967294" count="1" selected="0">
            <x v="0"/>
          </reference>
          <reference field="0" count="1">
            <x v="9"/>
          </reference>
          <reference field="2" count="1" selected="0">
            <x v="1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0"/>
          </reference>
          <reference field="0" count="1">
            <x v="10"/>
          </reference>
          <reference field="2" count="1" selected="0">
            <x v="0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0" count="1">
            <x v="11"/>
          </reference>
          <reference field="2" count="1" selected="0">
            <x v="1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0"/>
          </reference>
          <reference field="0" count="1">
            <x v="12"/>
          </reference>
          <reference field="2" count="1" selected="0">
            <x v="0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0" count="1">
            <x v="13"/>
          </reference>
          <reference field="2" count="1" selected="0">
            <x v="2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0" count="1">
            <x v="14"/>
          </reference>
          <reference field="2" count="1" selected="0">
            <x v="0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0" count="1">
            <x v="15"/>
          </reference>
          <reference field="2" count="1" selected="0">
            <x v="1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0" count="1">
            <x v="16"/>
          </reference>
          <reference field="2" count="1" selected="0">
            <x v="0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0" count="1">
            <x v="17"/>
          </reference>
          <reference field="2" count="1" selected="0">
            <x v="0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0" count="1">
            <x v="18"/>
          </reference>
          <reference field="2" count="1" selected="0">
            <x v="0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0" count="1">
            <x v="19"/>
          </reference>
          <reference field="2" count="1" selected="0">
            <x v="0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0"/>
          </reference>
          <reference field="0" count="1">
            <x v="20"/>
          </reference>
          <reference field="2" count="1" selected="0">
            <x v="0"/>
          </reference>
        </references>
      </pivotArea>
    </format>
    <format dxfId="49">
      <pivotArea collapsedLevelsAreSubtotals="1" fieldPosition="0">
        <references count="3">
          <reference field="4294967294" count="1" selected="0">
            <x v="0"/>
          </reference>
          <reference field="0" count="1">
            <x v="21"/>
          </reference>
          <reference field="2" count="1" selected="0">
            <x v="1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0"/>
          </reference>
          <reference field="0" count="1">
            <x v="22"/>
          </reference>
          <reference field="2" count="1" selected="0">
            <x v="0"/>
          </reference>
        </references>
      </pivotArea>
    </format>
    <format dxfId="51">
      <pivotArea collapsedLevelsAreSubtotals="1" fieldPosition="0">
        <references count="3">
          <reference field="4294967294" count="1" selected="0">
            <x v="0"/>
          </reference>
          <reference field="0" count="1">
            <x v="23"/>
          </reference>
          <reference field="2" count="1" selected="0">
            <x v="2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0"/>
          </reference>
          <reference field="0" count="1">
            <x v="24"/>
          </reference>
          <reference field="2" count="1" selected="0">
            <x v="1"/>
          </reference>
        </references>
      </pivotArea>
    </format>
    <format dxfId="53">
      <pivotArea collapsedLevelsAreSubtotals="1" fieldPosition="0">
        <references count="3">
          <reference field="4294967294" count="1" selected="0">
            <x v="0"/>
          </reference>
          <reference field="0" count="1">
            <x v="25"/>
          </reference>
          <reference field="2" count="1" selected="0">
            <x v="1"/>
          </reference>
        </references>
      </pivotArea>
    </format>
  </formats>
  <pivotHierarchies count="13">
    <pivotHierarchy dragToData="1"/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64E18-116D-4D30-815D-0CBC81839666}" name="TablaDinámica1" cacheId="20" applyNumberFormats="0" applyBorderFormats="0" applyFontFormats="0" applyPatternFormats="0" applyAlignmentFormats="0" applyWidthHeightFormats="1" dataCaption="Valores" tag="06b31c9a-f5b4-42d2-8113-81d4c4a2c663" updatedVersion="8" minRefreshableVersion="3" useAutoFormatting="1" rowGrandTotals="0" colGrandTotals="0" itemPrintTitles="1" createdVersion="5" indent="0" outline="1" outlineData="1" multipleFieldFilters="0" rowHeaderCaption="Producto">
  <location ref="B3:G6" firstHeaderRow="0" firstDataRow="1" firstDataCol="1"/>
  <pivotFields count="8">
    <pivotField axis="axisRow" allDrilled="1" showAll="0" dataSourceSort="1">
      <items count="2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howAll="0" dataSourceSort="1">
      <items count="4">
        <item x="0" e="0"/>
        <item n="Ventana Fija ST" x="1" e="0"/>
        <item n="Ventana Recursiva ST" x="2" e="0"/>
        <item t="default"/>
      </items>
    </pivotField>
  </pivotFields>
  <rowFields count="3">
    <field x="7"/>
    <field x="0"/>
    <field x="1"/>
  </rowFields>
  <rowItems count="3">
    <i>
      <x/>
    </i>
    <i>
      <x v="1"/>
    </i>
    <i>
      <x v="2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83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3">
    <pivotHierarchy dragToData="1"/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3">
    <rowHierarchyUsage hierarchyUsage="0"/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44" applyNumberFormats="0" applyBorderFormats="0" applyFontFormats="0" applyPatternFormats="0" applyAlignmentFormats="0" applyWidthHeightFormats="1" dataCaption="Valores" tag="06b31c9a-f5b4-42d2-8113-81d4c4a2c663" updatedVersion="8" minRefreshableVersion="3" useAutoFormatting="1" rowGrandTotals="0" colGrandTotals="0" itemPrintTitles="1" createdVersion="5" indent="0" outline="1" outlineData="1" multipleFieldFilters="0" rowHeaderCaption="Producto" colHeaderCaption="">
  <location ref="B3:Q31" firstHeaderRow="1" firstDataRow="3" firstDataCol="1"/>
  <pivotFields count="8">
    <pivotField axis="axisRow" allDrilled="1" showAll="0" dataSourceSort="1">
      <items count="27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2">
    <field x="0"/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rowItems>
  <colFields count="2">
    <field x="7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27">
    <format dxfId="8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9">
      <pivotArea collapsedLevelsAreSubtotals="1" fieldPosition="0">
        <references count="3">
          <reference field="4294967294" count="1" selected="0">
            <x v="3"/>
          </reference>
          <reference field="0" count="1">
            <x v="0"/>
          </reference>
          <reference field="7" count="1" selected="0">
            <x v="1"/>
          </reference>
        </references>
      </pivotArea>
    </format>
    <format dxfId="78">
      <pivotArea collapsedLevelsAreSubtotals="1" fieldPosition="0">
        <references count="3">
          <reference field="4294967294" count="1" selected="0">
            <x v="3"/>
          </reference>
          <reference field="0" count="1">
            <x v="1"/>
          </reference>
          <reference field="7" count="1" selected="0">
            <x v="1"/>
          </reference>
        </references>
      </pivotArea>
    </format>
    <format dxfId="77">
      <pivotArea collapsedLevelsAreSubtotals="1" fieldPosition="0">
        <references count="3">
          <reference field="4294967294" count="1" selected="0">
            <x v="3"/>
          </reference>
          <reference field="0" count="1">
            <x v="2"/>
          </reference>
          <reference field="7" count="1" selected="0">
            <x v="1"/>
          </reference>
        </references>
      </pivotArea>
    </format>
    <format dxfId="76">
      <pivotArea collapsedLevelsAreSubtotals="1" fieldPosition="0">
        <references count="3">
          <reference field="4294967294" count="1" selected="0">
            <x v="3"/>
          </reference>
          <reference field="0" count="1">
            <x v="3"/>
          </reference>
          <reference field="7" count="1" selected="0">
            <x v="1"/>
          </reference>
        </references>
      </pivotArea>
    </format>
    <format dxfId="75">
      <pivotArea collapsedLevelsAreSubtotals="1" fieldPosition="0">
        <references count="3">
          <reference field="4294967294" count="1" selected="0">
            <x v="3"/>
          </reference>
          <reference field="0" count="1">
            <x v="4"/>
          </reference>
          <reference field="7" count="1" selected="0">
            <x v="1"/>
          </reference>
        </references>
      </pivotArea>
    </format>
    <format dxfId="74">
      <pivotArea collapsedLevelsAreSubtotals="1" fieldPosition="0">
        <references count="3">
          <reference field="4294967294" count="1" selected="0">
            <x v="3"/>
          </reference>
          <reference field="0" count="1">
            <x v="5"/>
          </reference>
          <reference field="7" count="1" selected="0">
            <x v="1"/>
          </reference>
        </references>
      </pivotArea>
    </format>
    <format dxfId="73">
      <pivotArea collapsedLevelsAreSubtotals="1" fieldPosition="0">
        <references count="3">
          <reference field="4294967294" count="1" selected="0">
            <x v="3"/>
          </reference>
          <reference field="0" count="1">
            <x v="6"/>
          </reference>
          <reference field="7" count="1" selected="0">
            <x v="0"/>
          </reference>
        </references>
      </pivotArea>
    </format>
    <format dxfId="72">
      <pivotArea collapsedLevelsAreSubtotals="1" fieldPosition="0">
        <references count="3">
          <reference field="4294967294" count="1" selected="0">
            <x v="3"/>
          </reference>
          <reference field="0" count="1">
            <x v="7"/>
          </reference>
          <reference field="7" count="1" selected="0">
            <x v="1"/>
          </reference>
        </references>
      </pivotArea>
    </format>
    <format dxfId="71">
      <pivotArea collapsedLevelsAreSubtotals="1" fieldPosition="0">
        <references count="3">
          <reference field="4294967294" count="1" selected="0">
            <x v="3"/>
          </reference>
          <reference field="0" count="1">
            <x v="8"/>
          </reference>
          <reference field="7" count="1" selected="0">
            <x v="1"/>
          </reference>
        </references>
      </pivotArea>
    </format>
    <format dxfId="70">
      <pivotArea collapsedLevelsAreSubtotals="1" fieldPosition="0">
        <references count="3">
          <reference field="4294967294" count="1" selected="0">
            <x v="3"/>
          </reference>
          <reference field="0" count="1">
            <x v="9"/>
          </reference>
          <reference field="7" count="1" selected="0">
            <x v="1"/>
          </reference>
        </references>
      </pivotArea>
    </format>
    <format dxfId="69">
      <pivotArea collapsedLevelsAreSubtotals="1" fieldPosition="0">
        <references count="3">
          <reference field="4294967294" count="1" selected="0">
            <x v="3"/>
          </reference>
          <reference field="0" count="1">
            <x v="10"/>
          </reference>
          <reference field="7" count="1" selected="0">
            <x v="0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3"/>
          </reference>
          <reference field="0" count="1">
            <x v="11"/>
          </reference>
          <reference field="7" count="1" selected="0">
            <x v="1"/>
          </reference>
        </references>
      </pivotArea>
    </format>
    <format dxfId="67">
      <pivotArea collapsedLevelsAreSubtotals="1" fieldPosition="0">
        <references count="3">
          <reference field="4294967294" count="1" selected="0">
            <x v="3"/>
          </reference>
          <reference field="0" count="1">
            <x v="12"/>
          </reference>
          <reference field="7" count="1" selected="0">
            <x v="0"/>
          </reference>
        </references>
      </pivotArea>
    </format>
    <format dxfId="66">
      <pivotArea collapsedLevelsAreSubtotals="1" fieldPosition="0">
        <references count="3">
          <reference field="4294967294" count="1" selected="0">
            <x v="3"/>
          </reference>
          <reference field="0" count="1">
            <x v="13"/>
          </reference>
          <reference field="7" count="1" selected="0">
            <x v="2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3"/>
          </reference>
          <reference field="0" count="1">
            <x v="14"/>
          </reference>
          <reference field="7" count="1" selected="0">
            <x v="0"/>
          </reference>
        </references>
      </pivotArea>
    </format>
    <format dxfId="64">
      <pivotArea collapsedLevelsAreSubtotals="1" fieldPosition="0">
        <references count="3">
          <reference field="4294967294" count="1" selected="0">
            <x v="3"/>
          </reference>
          <reference field="0" count="1">
            <x v="15"/>
          </reference>
          <reference field="7" count="1" selected="0">
            <x v="1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3"/>
          </reference>
          <reference field="0" count="1">
            <x v="16"/>
          </reference>
          <reference field="7" count="1" selected="0">
            <x v="0"/>
          </reference>
        </references>
      </pivotArea>
    </format>
    <format dxfId="62">
      <pivotArea collapsedLevelsAreSubtotals="1" fieldPosition="0">
        <references count="3">
          <reference field="4294967294" count="1" selected="0">
            <x v="3"/>
          </reference>
          <reference field="0" count="1">
            <x v="17"/>
          </reference>
          <reference field="7" count="1" selected="0">
            <x v="0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3"/>
          </reference>
          <reference field="0" count="1">
            <x v="18"/>
          </reference>
          <reference field="7" count="1" selected="0">
            <x v="0"/>
          </reference>
        </references>
      </pivotArea>
    </format>
    <format dxfId="60">
      <pivotArea collapsedLevelsAreSubtotals="1" fieldPosition="0">
        <references count="3">
          <reference field="4294967294" count="1" selected="0">
            <x v="3"/>
          </reference>
          <reference field="0" count="1">
            <x v="19"/>
          </reference>
          <reference field="7" count="1" selected="0">
            <x v="0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3"/>
          </reference>
          <reference field="0" count="1">
            <x v="20"/>
          </reference>
          <reference field="7" count="1" selected="0">
            <x v="0"/>
          </reference>
        </references>
      </pivotArea>
    </format>
    <format dxfId="58">
      <pivotArea collapsedLevelsAreSubtotals="1" fieldPosition="0">
        <references count="3">
          <reference field="4294967294" count="1" selected="0">
            <x v="3"/>
          </reference>
          <reference field="0" count="1">
            <x v="21"/>
          </reference>
          <reference field="7" count="1" selected="0">
            <x v="1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3"/>
          </reference>
          <reference field="0" count="1">
            <x v="22"/>
          </reference>
          <reference field="7" count="1" selected="0">
            <x v="0"/>
          </reference>
        </references>
      </pivotArea>
    </format>
    <format dxfId="56">
      <pivotArea collapsedLevelsAreSubtotals="1" fieldPosition="0">
        <references count="3">
          <reference field="4294967294" count="1" selected="0">
            <x v="3"/>
          </reference>
          <reference field="0" count="1">
            <x v="23"/>
          </reference>
          <reference field="7" count="1" selected="0">
            <x v="2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3"/>
          </reference>
          <reference field="0" count="1">
            <x v="24"/>
          </reference>
          <reference field="7" count="1" selected="0">
            <x v="1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3"/>
          </reference>
          <reference field="0" count="1">
            <x v="25"/>
          </reference>
          <reference field="7" count="1" selected="0">
            <x v="1"/>
          </reference>
        </references>
      </pivotArea>
    </format>
  </formats>
  <pivotHierarchies count="13">
    <pivotHierarchy dragToData="1"/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2">
    <rowHierarchyUsage hierarchyUsage="1"/>
    <rowHierarchyUsage hierarchyUsage="2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827198656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1" xr10:uid="{664ACA9F-0BD2-4E19-B84C-24AD54DE85E7}" sourceName="[Tabla1].[SKU]">
  <pivotTables>
    <pivotTable tabId="6" name="TablaDinámica1"/>
  </pivotTables>
  <data>
    <olap pivotCacheId="827198656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2" xr10:uid="{31391448-1A9D-4556-B5FF-B30A1BA40F65}" sourceName="[Tabla1].[SKU]">
  <pivotTables>
    <pivotTable tabId="7" name="TablaDinámica1"/>
  </pivotTables>
  <data>
    <olap pivotCacheId="827198656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 2" xr10:uid="{0B7AC9AC-0C9E-493C-BB44-0472F0BB96F0}" cache="SegmentaciónDeDatos_SKU2" caption="SKU" level="1" style="SlicerStyleOther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 1" xr10:uid="{21450B48-AB6C-41D0-9ED1-B20705C235D2}" cache="SegmentaciónDeDatos_SKU1" caption="SKU" startItem="6" level="1" style="SlicerStyleOther1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level="1" style="SlicerStyleOther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O158" totalsRowShown="0" headerRowDxfId="81">
  <autoFilter ref="A2:O158" xr:uid="{AC5160AC-1829-43F3-A27C-CA2B27D5BDDF}"/>
  <tableColumns count="15">
    <tableColumn id="1" xr3:uid="{C3CE245C-8581-4724-B40B-3A95F6007B37}" name="Method" dataDxfId="80"/>
    <tableColumn id="2" xr3:uid="{7DD193C4-0C66-409B-B1FE-EC0B16866203}" name="SKU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SUM(H3:N3)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97C8-A602-4CD6-9F49-24E7BED16BE3}">
  <dimension ref="B3:F30"/>
  <sheetViews>
    <sheetView tabSelected="1" zoomScale="115" zoomScaleNormal="115" workbookViewId="0">
      <selection activeCell="I7" sqref="I7"/>
    </sheetView>
  </sheetViews>
  <sheetFormatPr baseColWidth="10" defaultRowHeight="15" x14ac:dyDescent="0.25"/>
  <cols>
    <col min="2" max="2" width="11.42578125" bestFit="1" customWidth="1"/>
    <col min="3" max="3" width="11.28515625" bestFit="1" customWidth="1"/>
    <col min="4" max="4" width="11.85546875" bestFit="1" customWidth="1"/>
    <col min="5" max="5" width="17.7109375" bestFit="1" customWidth="1"/>
    <col min="6" max="6" width="45.28515625" bestFit="1" customWidth="1"/>
    <col min="7" max="7" width="17.7109375" bestFit="1" customWidth="1"/>
    <col min="8" max="8" width="6.7109375" bestFit="1" customWidth="1"/>
    <col min="9" max="9" width="17.7109375" bestFit="1" customWidth="1"/>
    <col min="10" max="10" width="8.42578125" bestFit="1" customWidth="1"/>
    <col min="11" max="11" width="6.7109375" bestFit="1" customWidth="1"/>
    <col min="12" max="12" width="7.85546875" bestFit="1" customWidth="1"/>
    <col min="13" max="13" width="8.42578125" bestFit="1" customWidth="1"/>
    <col min="14" max="14" width="6.7109375" bestFit="1" customWidth="1"/>
    <col min="15" max="15" width="7.85546875" bestFit="1" customWidth="1"/>
    <col min="16" max="16" width="8.42578125" bestFit="1" customWidth="1"/>
    <col min="17" max="17" width="6.7109375" bestFit="1" customWidth="1"/>
    <col min="18" max="18" width="19.140625" bestFit="1" customWidth="1"/>
    <col min="19" max="19" width="18.7109375" bestFit="1" customWidth="1"/>
    <col min="20" max="20" width="12.7109375" bestFit="1" customWidth="1"/>
    <col min="21" max="21" width="13.28515625" bestFit="1" customWidth="1"/>
    <col min="22" max="22" width="11.5703125" bestFit="1" customWidth="1"/>
    <col min="23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6" x14ac:dyDescent="0.25">
      <c r="B3" s="4" t="s">
        <v>66</v>
      </c>
      <c r="C3" s="4" t="s">
        <v>99</v>
      </c>
      <c r="F3" s="10"/>
    </row>
    <row r="4" spans="2:6" x14ac:dyDescent="0.25">
      <c r="B4" s="4" t="s">
        <v>64</v>
      </c>
      <c r="C4" t="s">
        <v>96</v>
      </c>
      <c r="D4" t="s">
        <v>95</v>
      </c>
      <c r="E4" t="s">
        <v>94</v>
      </c>
      <c r="F4" s="9" t="s">
        <v>100</v>
      </c>
    </row>
    <row r="5" spans="2:6" x14ac:dyDescent="0.25">
      <c r="B5" s="5" t="s">
        <v>6</v>
      </c>
      <c r="C5" s="7">
        <v>7.2122636290652575E-2</v>
      </c>
      <c r="D5" s="11">
        <v>7.0936205647988193E-2</v>
      </c>
      <c r="E5" s="7">
        <v>0.11591774363307175</v>
      </c>
      <c r="F5" t="s">
        <v>31</v>
      </c>
    </row>
    <row r="6" spans="2:6" x14ac:dyDescent="0.25">
      <c r="B6" s="5" t="s">
        <v>8</v>
      </c>
      <c r="C6" s="7">
        <v>0.20010641646380808</v>
      </c>
      <c r="D6" s="11">
        <v>0.10197953485561483</v>
      </c>
      <c r="E6" s="7">
        <v>0.20482988840474772</v>
      </c>
      <c r="F6" t="s">
        <v>11</v>
      </c>
    </row>
    <row r="7" spans="2:6" x14ac:dyDescent="0.25">
      <c r="B7" s="5" t="s">
        <v>10</v>
      </c>
      <c r="C7" s="7">
        <v>5.845704464111779E-2</v>
      </c>
      <c r="D7" s="11">
        <v>3.5653839044981622E-2</v>
      </c>
      <c r="E7" s="7">
        <v>0.12107417364694507</v>
      </c>
      <c r="F7" t="s">
        <v>101</v>
      </c>
    </row>
    <row r="8" spans="2:6" x14ac:dyDescent="0.25">
      <c r="B8" s="5" t="s">
        <v>12</v>
      </c>
      <c r="C8" s="7">
        <v>0.16530241142197574</v>
      </c>
      <c r="D8" s="11">
        <v>5.1462642117308187E-2</v>
      </c>
      <c r="E8" s="7">
        <v>0.28213564323007001</v>
      </c>
      <c r="F8" t="s">
        <v>102</v>
      </c>
    </row>
    <row r="9" spans="2:6" x14ac:dyDescent="0.25">
      <c r="B9" s="5" t="s">
        <v>14</v>
      </c>
      <c r="C9" s="7">
        <v>0.19821875483796739</v>
      </c>
      <c r="D9" s="11">
        <v>0.15554618947169485</v>
      </c>
      <c r="E9" s="7">
        <v>0.19063716629190902</v>
      </c>
      <c r="F9" t="s">
        <v>15</v>
      </c>
    </row>
    <row r="10" spans="2:6" x14ac:dyDescent="0.25">
      <c r="B10" s="5" t="s">
        <v>16</v>
      </c>
      <c r="C10" s="7">
        <v>9.7945620796898003E-2</v>
      </c>
      <c r="D10" s="11">
        <v>4.3914301862970788E-2</v>
      </c>
      <c r="E10" s="7">
        <v>0.19172482618977485</v>
      </c>
      <c r="F10" t="s">
        <v>103</v>
      </c>
    </row>
    <row r="11" spans="2:6" x14ac:dyDescent="0.25">
      <c r="B11" s="5" t="s">
        <v>18</v>
      </c>
      <c r="C11" s="11">
        <v>2.1526599752493224E-2</v>
      </c>
      <c r="D11" s="7">
        <v>4.163859132663178E-2</v>
      </c>
      <c r="E11" s="7">
        <v>0.20115625089991609</v>
      </c>
      <c r="F11" t="s">
        <v>107</v>
      </c>
    </row>
    <row r="12" spans="2:6" x14ac:dyDescent="0.25">
      <c r="B12" s="5" t="s">
        <v>20</v>
      </c>
      <c r="C12" s="7">
        <v>0.26650635758066549</v>
      </c>
      <c r="D12" s="11">
        <v>1.8395307306486572E-2</v>
      </c>
      <c r="E12" s="7">
        <v>4.0206346220525671E-2</v>
      </c>
      <c r="F12" t="s">
        <v>15</v>
      </c>
    </row>
    <row r="13" spans="2:6" x14ac:dyDescent="0.25">
      <c r="B13" s="5" t="s">
        <v>21</v>
      </c>
      <c r="C13" s="7">
        <v>1.2919445142338438E-2</v>
      </c>
      <c r="D13" s="11">
        <v>4.8069787278690003E-3</v>
      </c>
      <c r="E13" s="7">
        <v>0.26677981550001451</v>
      </c>
      <c r="F13" t="s">
        <v>104</v>
      </c>
    </row>
    <row r="14" spans="2:6" x14ac:dyDescent="0.25">
      <c r="B14" s="5" t="s">
        <v>23</v>
      </c>
      <c r="C14" s="7">
        <v>8.7363127179919356E-2</v>
      </c>
      <c r="D14" s="11">
        <v>3.0850989453740603E-2</v>
      </c>
      <c r="E14" s="7">
        <v>6.222559939618174E-2</v>
      </c>
      <c r="F14" t="s">
        <v>105</v>
      </c>
    </row>
    <row r="15" spans="2:6" x14ac:dyDescent="0.25">
      <c r="B15" s="5" t="s">
        <v>25</v>
      </c>
      <c r="C15" s="11">
        <v>0.13582251082251082</v>
      </c>
      <c r="D15" s="7">
        <v>0.25270827233467996</v>
      </c>
      <c r="E15" s="7">
        <v>0.69001662536116237</v>
      </c>
      <c r="F15" t="s">
        <v>108</v>
      </c>
    </row>
    <row r="16" spans="2:6" x14ac:dyDescent="0.25">
      <c r="B16" s="5" t="s">
        <v>27</v>
      </c>
      <c r="C16" s="7">
        <v>5.0579326258296461E-2</v>
      </c>
      <c r="D16" s="11">
        <v>4.8108927935821513E-2</v>
      </c>
      <c r="E16" s="7">
        <v>0.11146451219295633</v>
      </c>
      <c r="F16" t="s">
        <v>15</v>
      </c>
    </row>
    <row r="17" spans="2:6" x14ac:dyDescent="0.25">
      <c r="B17" s="5" t="s">
        <v>28</v>
      </c>
      <c r="C17" s="11">
        <v>7.0262867271815174E-2</v>
      </c>
      <c r="D17" s="7">
        <v>0.14318222319841487</v>
      </c>
      <c r="E17" s="7">
        <v>1.5362252412349389</v>
      </c>
      <c r="F17" t="s">
        <v>109</v>
      </c>
    </row>
    <row r="18" spans="2:6" x14ac:dyDescent="0.25">
      <c r="B18" s="5" t="s">
        <v>29</v>
      </c>
      <c r="C18" s="7">
        <v>0.1403679023692814</v>
      </c>
      <c r="D18" s="7">
        <v>0.1093353784972951</v>
      </c>
      <c r="E18" s="11">
        <v>5.5550247310861153E-2</v>
      </c>
      <c r="F18" t="s">
        <v>82</v>
      </c>
    </row>
    <row r="19" spans="2:6" x14ac:dyDescent="0.25">
      <c r="B19" s="5" t="s">
        <v>30</v>
      </c>
      <c r="C19" s="11">
        <v>3.3900473391317021E-2</v>
      </c>
      <c r="D19" s="7">
        <v>0.16434177766976968</v>
      </c>
      <c r="E19" s="7">
        <v>8.6806002185021561E-2</v>
      </c>
      <c r="F19" t="s">
        <v>109</v>
      </c>
    </row>
    <row r="20" spans="2:6" x14ac:dyDescent="0.25">
      <c r="B20" s="5" t="s">
        <v>32</v>
      </c>
      <c r="C20" s="7">
        <v>8.5933800946057601E-3</v>
      </c>
      <c r="D20" s="11">
        <v>6.1914524161754041E-3</v>
      </c>
      <c r="E20" s="7">
        <v>1.9191019103899244E-2</v>
      </c>
      <c r="F20" t="s">
        <v>13</v>
      </c>
    </row>
    <row r="21" spans="2:6" x14ac:dyDescent="0.25">
      <c r="B21" s="5" t="s">
        <v>33</v>
      </c>
      <c r="C21" s="11">
        <v>3.05470564294089E-2</v>
      </c>
      <c r="D21" s="7">
        <v>5.17227622886536E-2</v>
      </c>
      <c r="E21" s="7">
        <v>0.202129824665604</v>
      </c>
      <c r="F21" t="s">
        <v>110</v>
      </c>
    </row>
    <row r="22" spans="2:6" x14ac:dyDescent="0.25">
      <c r="B22" s="5" t="s">
        <v>35</v>
      </c>
      <c r="C22" s="11">
        <v>1.7602461885262502E-2</v>
      </c>
      <c r="D22" s="7">
        <v>0.1784102227786869</v>
      </c>
      <c r="E22" s="7">
        <v>3.9153817531515166E-2</v>
      </c>
      <c r="F22" t="s">
        <v>109</v>
      </c>
    </row>
    <row r="23" spans="2:6" x14ac:dyDescent="0.25">
      <c r="B23" s="5" t="s">
        <v>37</v>
      </c>
      <c r="C23" s="11">
        <v>0.1143915049611125</v>
      </c>
      <c r="D23" s="7">
        <v>0.12701160723479449</v>
      </c>
      <c r="E23" s="7">
        <v>0.14126064415256973</v>
      </c>
      <c r="F23" t="s">
        <v>109</v>
      </c>
    </row>
    <row r="24" spans="2:6" x14ac:dyDescent="0.25">
      <c r="B24" s="5" t="s">
        <v>38</v>
      </c>
      <c r="C24" s="11">
        <v>2.2832114105784181E-2</v>
      </c>
      <c r="D24" s="7">
        <v>4.8520028575488927E-2</v>
      </c>
      <c r="E24" s="7">
        <v>9.1267312114410096E-2</v>
      </c>
      <c r="F24" t="s">
        <v>109</v>
      </c>
    </row>
    <row r="25" spans="2:6" x14ac:dyDescent="0.25">
      <c r="B25" s="5" t="s">
        <v>40</v>
      </c>
      <c r="C25" s="11">
        <v>6.8597972922777084E-2</v>
      </c>
      <c r="D25" s="7">
        <v>9.0263313193268566E-2</v>
      </c>
      <c r="E25" s="7">
        <v>0.22182170156516876</v>
      </c>
      <c r="F25" t="s">
        <v>109</v>
      </c>
    </row>
    <row r="26" spans="2:6" x14ac:dyDescent="0.25">
      <c r="B26" s="5" t="s">
        <v>41</v>
      </c>
      <c r="C26" s="7">
        <v>5.530660217369622E-2</v>
      </c>
      <c r="D26" s="11">
        <v>9.1952713490880255E-3</v>
      </c>
      <c r="E26" s="7">
        <v>4.5627412116246442E-2</v>
      </c>
      <c r="F26" t="s">
        <v>104</v>
      </c>
    </row>
    <row r="27" spans="2:6" x14ac:dyDescent="0.25">
      <c r="B27" s="5" t="s">
        <v>43</v>
      </c>
      <c r="C27" s="11">
        <v>3.4547023025189669E-3</v>
      </c>
      <c r="D27" s="7">
        <v>2.5286456384259404E-2</v>
      </c>
      <c r="E27" s="7">
        <v>0.17740367287243219</v>
      </c>
      <c r="F27" t="s">
        <v>109</v>
      </c>
    </row>
    <row r="28" spans="2:6" x14ac:dyDescent="0.25">
      <c r="B28" s="5" t="s">
        <v>45</v>
      </c>
      <c r="C28" s="7">
        <v>0.21362961293625357</v>
      </c>
      <c r="D28" s="7">
        <v>0.15473736668748159</v>
      </c>
      <c r="E28" s="11">
        <v>1.2355701930938809E-2</v>
      </c>
      <c r="F28" t="s">
        <v>90</v>
      </c>
    </row>
    <row r="29" spans="2:6" x14ac:dyDescent="0.25">
      <c r="B29" s="5" t="s">
        <v>47</v>
      </c>
      <c r="C29" s="7">
        <v>0.57317073170731703</v>
      </c>
      <c r="D29" s="11">
        <v>0.41829953562276173</v>
      </c>
      <c r="E29" s="7">
        <v>0.74136244400166362</v>
      </c>
      <c r="F29" t="s">
        <v>106</v>
      </c>
    </row>
    <row r="30" spans="2:6" x14ac:dyDescent="0.25">
      <c r="B30" s="5" t="s">
        <v>49</v>
      </c>
      <c r="C30" s="7">
        <v>0.33931414686995304</v>
      </c>
      <c r="D30" s="11">
        <v>0.19103243626335059</v>
      </c>
      <c r="E30" s="7">
        <v>0.55889756823367998</v>
      </c>
      <c r="F30" t="s">
        <v>11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B919-FFA1-4A70-8425-4379F4A32470}">
  <dimension ref="B3:M22"/>
  <sheetViews>
    <sheetView zoomScale="115" zoomScaleNormal="115" workbookViewId="0">
      <selection activeCell="B4" sqref="B4"/>
    </sheetView>
  </sheetViews>
  <sheetFormatPr baseColWidth="10" defaultRowHeight="15" x14ac:dyDescent="0.25"/>
  <cols>
    <col min="2" max="2" width="22.1406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4.140625" bestFit="1" customWidth="1"/>
    <col min="9" max="9" width="13.7109375" bestFit="1" customWidth="1"/>
    <col min="10" max="10" width="7.85546875" bestFit="1" customWidth="1"/>
    <col min="11" max="11" width="8.42578125" bestFit="1" customWidth="1"/>
    <col min="12" max="12" width="6.7109375" bestFit="1" customWidth="1"/>
    <col min="13" max="13" width="17.7109375" bestFit="1" customWidth="1"/>
    <col min="14" max="14" width="13.7109375" bestFit="1" customWidth="1"/>
    <col min="15" max="15" width="7.85546875" bestFit="1" customWidth="1"/>
    <col min="16" max="16" width="8.42578125" bestFit="1" customWidth="1"/>
    <col min="17" max="17" width="6.7109375" bestFit="1" customWidth="1"/>
    <col min="18" max="18" width="19.140625" bestFit="1" customWidth="1"/>
    <col min="19" max="19" width="18.7109375" bestFit="1" customWidth="1"/>
    <col min="20" max="20" width="12.7109375" bestFit="1" customWidth="1"/>
    <col min="21" max="21" width="13.28515625" bestFit="1" customWidth="1"/>
    <col min="22" max="22" width="11.5703125" bestFit="1" customWidth="1"/>
    <col min="23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7" x14ac:dyDescent="0.25">
      <c r="B3" s="4" t="s">
        <v>64</v>
      </c>
      <c r="C3" t="s">
        <v>62</v>
      </c>
      <c r="D3" t="s">
        <v>63</v>
      </c>
      <c r="E3" t="s">
        <v>61</v>
      </c>
      <c r="F3" s="2" t="s">
        <v>66</v>
      </c>
      <c r="G3" t="s">
        <v>65</v>
      </c>
    </row>
    <row r="4" spans="2:7" x14ac:dyDescent="0.25">
      <c r="B4" s="5" t="s">
        <v>96</v>
      </c>
      <c r="C4" s="6">
        <v>919161.09846088546</v>
      </c>
      <c r="D4" s="6">
        <v>915461</v>
      </c>
      <c r="E4" s="7">
        <v>0.26688211435508707</v>
      </c>
      <c r="F4" s="7">
        <v>4.0417871005815247E-3</v>
      </c>
      <c r="G4" s="7">
        <v>0.17345722856142945</v>
      </c>
    </row>
    <row r="5" spans="2:7" x14ac:dyDescent="0.25">
      <c r="B5" s="5" t="s">
        <v>97</v>
      </c>
      <c r="C5" s="6">
        <v>901294.23592959717</v>
      </c>
      <c r="D5" s="6">
        <v>915461</v>
      </c>
      <c r="E5" s="7">
        <v>0.2442176878497484</v>
      </c>
      <c r="F5" s="7">
        <v>1.5475005565942002E-2</v>
      </c>
      <c r="G5" s="7">
        <v>0.16148925561290733</v>
      </c>
    </row>
    <row r="6" spans="2:7" x14ac:dyDescent="0.25">
      <c r="B6" s="5" t="s">
        <v>98</v>
      </c>
      <c r="C6" s="6">
        <v>971015.60528554942</v>
      </c>
      <c r="D6" s="6">
        <v>915461</v>
      </c>
      <c r="E6" s="7">
        <v>0.37692137860397273</v>
      </c>
      <c r="F6" s="7">
        <v>6.0684841064282825E-2</v>
      </c>
      <c r="G6" s="7">
        <v>0.24408368924644933</v>
      </c>
    </row>
    <row r="22" spans="13:13" x14ac:dyDescent="0.25">
      <c r="M22" s="8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Q31"/>
  <sheetViews>
    <sheetView zoomScale="115" zoomScaleNormal="115" workbookViewId="0">
      <selection activeCell="S28" sqref="S28"/>
    </sheetView>
  </sheetViews>
  <sheetFormatPr baseColWidth="10" defaultRowHeight="15" x14ac:dyDescent="0.25"/>
  <cols>
    <col min="2" max="2" width="11.42578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4.140625" bestFit="1" customWidth="1"/>
    <col min="9" max="9" width="13.7109375" bestFit="1" customWidth="1"/>
    <col min="10" max="10" width="7.85546875" bestFit="1" customWidth="1"/>
    <col min="11" max="11" width="8.42578125" bestFit="1" customWidth="1"/>
    <col min="12" max="12" width="6.7109375" bestFit="1" customWidth="1"/>
    <col min="13" max="13" width="17.7109375" bestFit="1" customWidth="1"/>
    <col min="14" max="14" width="13.7109375" bestFit="1" customWidth="1"/>
    <col min="15" max="15" width="7.85546875" bestFit="1" customWidth="1"/>
    <col min="16" max="16" width="8.42578125" bestFit="1" customWidth="1"/>
    <col min="17" max="17" width="6.7109375" bestFit="1" customWidth="1"/>
    <col min="18" max="18" width="19.140625" bestFit="1" customWidth="1"/>
    <col min="19" max="19" width="18.7109375" bestFit="1" customWidth="1"/>
    <col min="20" max="20" width="12.7109375" bestFit="1" customWidth="1"/>
    <col min="21" max="21" width="13.28515625" bestFit="1" customWidth="1"/>
    <col min="22" max="22" width="11.5703125" bestFit="1" customWidth="1"/>
    <col min="23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17" x14ac:dyDescent="0.25">
      <c r="C3" s="4" t="s">
        <v>99</v>
      </c>
    </row>
    <row r="4" spans="2:17" x14ac:dyDescent="0.25">
      <c r="C4" t="s">
        <v>96</v>
      </c>
      <c r="H4" t="s">
        <v>95</v>
      </c>
      <c r="M4" t="s">
        <v>94</v>
      </c>
    </row>
    <row r="5" spans="2:17" x14ac:dyDescent="0.25">
      <c r="B5" s="4" t="s">
        <v>64</v>
      </c>
      <c r="C5" t="s">
        <v>62</v>
      </c>
      <c r="D5" t="s">
        <v>63</v>
      </c>
      <c r="E5" t="s">
        <v>61</v>
      </c>
      <c r="F5" s="2" t="s">
        <v>66</v>
      </c>
      <c r="G5" t="s">
        <v>65</v>
      </c>
      <c r="H5" t="s">
        <v>62</v>
      </c>
      <c r="I5" t="s">
        <v>63</v>
      </c>
      <c r="J5" t="s">
        <v>61</v>
      </c>
      <c r="K5" s="2" t="s">
        <v>66</v>
      </c>
      <c r="L5" t="s">
        <v>65</v>
      </c>
      <c r="M5" t="s">
        <v>62</v>
      </c>
      <c r="N5" t="s">
        <v>63</v>
      </c>
      <c r="O5" t="s">
        <v>61</v>
      </c>
      <c r="P5" s="2" t="s">
        <v>66</v>
      </c>
      <c r="Q5" t="s">
        <v>65</v>
      </c>
    </row>
    <row r="6" spans="2:17" x14ac:dyDescent="0.25">
      <c r="B6" s="5" t="s">
        <v>6</v>
      </c>
      <c r="C6" s="6">
        <v>130385.3271484375</v>
      </c>
      <c r="D6" s="6">
        <v>140520</v>
      </c>
      <c r="E6" s="7">
        <v>0.18915755013743596</v>
      </c>
      <c r="F6" s="7">
        <v>7.2122636290652575E-2</v>
      </c>
      <c r="G6" s="7">
        <v>-1.7759214704159792E-2</v>
      </c>
      <c r="H6" s="6">
        <v>150487.9556176553</v>
      </c>
      <c r="I6" s="6">
        <v>140520</v>
      </c>
      <c r="J6" s="7">
        <v>0.10102837077272346</v>
      </c>
      <c r="K6" s="11">
        <v>7.0936205647988193E-2</v>
      </c>
      <c r="L6" s="7">
        <v>9.3322499816915747E-2</v>
      </c>
      <c r="M6" s="6">
        <v>124231.23866468076</v>
      </c>
      <c r="N6" s="6">
        <v>140520</v>
      </c>
      <c r="O6" s="7">
        <v>0.14141702502015541</v>
      </c>
      <c r="P6" s="7">
        <v>0.11591774363307175</v>
      </c>
      <c r="Q6" s="7">
        <v>-0.1186722631152298</v>
      </c>
    </row>
    <row r="7" spans="2:17" x14ac:dyDescent="0.25">
      <c r="B7" s="5" t="s">
        <v>8</v>
      </c>
      <c r="C7" s="6">
        <v>7343.0230968622418</v>
      </c>
      <c r="D7" s="6">
        <v>9180</v>
      </c>
      <c r="E7" s="7">
        <v>0.20010641646380806</v>
      </c>
      <c r="F7" s="7">
        <v>0.20010641646380808</v>
      </c>
      <c r="G7" s="7">
        <v>-0.20450689525717122</v>
      </c>
      <c r="H7" s="6">
        <v>8243.8278700254559</v>
      </c>
      <c r="I7" s="6">
        <v>9180</v>
      </c>
      <c r="J7" s="7">
        <v>0.12141768019010926</v>
      </c>
      <c r="K7" s="11">
        <v>0.10197953485561483</v>
      </c>
      <c r="L7" s="7">
        <v>-9.3017230129951237E-2</v>
      </c>
      <c r="M7" s="6">
        <v>7299.6616244444158</v>
      </c>
      <c r="N7" s="6">
        <v>9180</v>
      </c>
      <c r="O7" s="7">
        <v>0.20482988840474772</v>
      </c>
      <c r="P7" s="7">
        <v>0.20482988840474772</v>
      </c>
      <c r="Q7" s="7">
        <v>-0.20004234590768102</v>
      </c>
    </row>
    <row r="8" spans="2:17" x14ac:dyDescent="0.25">
      <c r="B8" s="5" t="s">
        <v>10</v>
      </c>
      <c r="C8" s="6">
        <v>7620.8907214160481</v>
      </c>
      <c r="D8" s="6">
        <v>7200</v>
      </c>
      <c r="E8" s="7">
        <v>0.1787412141761732</v>
      </c>
      <c r="F8" s="7">
        <v>5.845704464111779E-2</v>
      </c>
      <c r="G8" s="7">
        <v>0.16231435099256411</v>
      </c>
      <c r="H8" s="6">
        <v>7456.7076411238677</v>
      </c>
      <c r="I8" s="6">
        <v>7200</v>
      </c>
      <c r="J8" s="7">
        <v>0.20204110878934897</v>
      </c>
      <c r="K8" s="11">
        <v>3.5653839044981622E-2</v>
      </c>
      <c r="L8" s="7">
        <v>5.0672040456253335E-2</v>
      </c>
      <c r="M8" s="6">
        <v>8071.7340502580046</v>
      </c>
      <c r="N8" s="6">
        <v>7200</v>
      </c>
      <c r="O8" s="7">
        <v>0.24409144294226998</v>
      </c>
      <c r="P8" s="7">
        <v>0.12107417364694507</v>
      </c>
      <c r="Q8" s="7">
        <v>0.3066806177108391</v>
      </c>
    </row>
    <row r="9" spans="2:17" x14ac:dyDescent="0.25">
      <c r="B9" s="5" t="s">
        <v>12</v>
      </c>
      <c r="C9" s="6">
        <v>3255.3205954542946</v>
      </c>
      <c r="D9" s="6">
        <v>3900</v>
      </c>
      <c r="E9" s="7">
        <v>0.2036617551704577</v>
      </c>
      <c r="F9" s="7">
        <v>0.16530241142197574</v>
      </c>
      <c r="G9" s="7">
        <v>-0.23079829656953518</v>
      </c>
      <c r="H9" s="6">
        <v>3699.2956957424981</v>
      </c>
      <c r="I9" s="6">
        <v>3900</v>
      </c>
      <c r="J9" s="7">
        <v>0.31404587676216461</v>
      </c>
      <c r="K9" s="11">
        <v>5.1462642117308187E-2</v>
      </c>
      <c r="L9" s="7">
        <v>-3.1302029675318144E-2</v>
      </c>
      <c r="M9" s="6">
        <v>2799.6709914027269</v>
      </c>
      <c r="N9" s="6">
        <v>3900</v>
      </c>
      <c r="O9" s="7">
        <v>0.57290994699893161</v>
      </c>
      <c r="P9" s="7">
        <v>0.28213564323007001</v>
      </c>
      <c r="Q9" s="7">
        <v>-0.20250471116738675</v>
      </c>
    </row>
    <row r="10" spans="2:17" x14ac:dyDescent="0.25">
      <c r="B10" s="5" t="s">
        <v>14</v>
      </c>
      <c r="C10" s="6">
        <v>3126.9468561319272</v>
      </c>
      <c r="D10" s="6">
        <v>3900</v>
      </c>
      <c r="E10" s="7">
        <v>0.34165407052251817</v>
      </c>
      <c r="F10" s="7">
        <v>0.19821875483796739</v>
      </c>
      <c r="G10" s="7">
        <v>6.4553270667751475E-2</v>
      </c>
      <c r="H10" s="6">
        <v>3293.3698610603901</v>
      </c>
      <c r="I10" s="6">
        <v>3900</v>
      </c>
      <c r="J10" s="7">
        <v>0.40211441134591025</v>
      </c>
      <c r="K10" s="11">
        <v>0.15554618947169485</v>
      </c>
      <c r="L10" s="7">
        <v>0.11813992603823105</v>
      </c>
      <c r="M10" s="6">
        <v>3156.5150514615548</v>
      </c>
      <c r="N10" s="6">
        <v>3900</v>
      </c>
      <c r="O10" s="7">
        <v>0.34690847288860033</v>
      </c>
      <c r="P10" s="7">
        <v>0.19063716629190902</v>
      </c>
      <c r="Q10" s="7">
        <v>5.6787178596644353E-2</v>
      </c>
    </row>
    <row r="11" spans="2:17" x14ac:dyDescent="0.25">
      <c r="B11" s="5" t="s">
        <v>16</v>
      </c>
      <c r="C11" s="6">
        <v>14288.541366577136</v>
      </c>
      <c r="D11" s="6">
        <v>15840</v>
      </c>
      <c r="E11" s="7">
        <v>0.23921229140927114</v>
      </c>
      <c r="F11" s="7">
        <v>9.7945620796898003E-2</v>
      </c>
      <c r="G11" s="7">
        <v>3.3875976606076989E-2</v>
      </c>
      <c r="H11" s="6">
        <v>15144.397458490543</v>
      </c>
      <c r="I11" s="6">
        <v>15840</v>
      </c>
      <c r="J11" s="7">
        <v>0.54407290646056694</v>
      </c>
      <c r="K11" s="11">
        <v>4.3914301862970788E-2</v>
      </c>
      <c r="L11" s="7">
        <v>0.8447790303325845</v>
      </c>
      <c r="M11" s="6">
        <v>12803.078753153966</v>
      </c>
      <c r="N11" s="6">
        <v>15840</v>
      </c>
      <c r="O11" s="7">
        <v>0.60222044992813339</v>
      </c>
      <c r="P11" s="7">
        <v>0.19172482618977485</v>
      </c>
      <c r="Q11" s="7">
        <v>0.54947418541334492</v>
      </c>
    </row>
    <row r="12" spans="2:17" x14ac:dyDescent="0.25">
      <c r="B12" s="5" t="s">
        <v>18</v>
      </c>
      <c r="C12" s="6">
        <v>6810.1748657226472</v>
      </c>
      <c r="D12" s="6">
        <v>6960</v>
      </c>
      <c r="E12" s="7">
        <v>0.14265225289881969</v>
      </c>
      <c r="F12" s="11">
        <v>2.1526599752493224E-2</v>
      </c>
      <c r="G12" s="7">
        <v>-2.1681874898397836E-2</v>
      </c>
      <c r="H12" s="6">
        <v>6670.1954043666428</v>
      </c>
      <c r="I12" s="6">
        <v>6960</v>
      </c>
      <c r="J12" s="7">
        <v>0.23127212234677269</v>
      </c>
      <c r="K12" s="7">
        <v>4.163859132663178E-2</v>
      </c>
      <c r="L12" s="7">
        <v>-5.0332548802899092E-2</v>
      </c>
      <c r="M12" s="6">
        <v>5559.9524937365841</v>
      </c>
      <c r="N12" s="6">
        <v>6960</v>
      </c>
      <c r="O12" s="7">
        <v>0.25179887683161234</v>
      </c>
      <c r="P12" s="7">
        <v>0.20115625089991609</v>
      </c>
      <c r="Q12" s="7">
        <v>-0.22295834458151567</v>
      </c>
    </row>
    <row r="13" spans="2:17" x14ac:dyDescent="0.25">
      <c r="B13" s="5" t="s">
        <v>20</v>
      </c>
      <c r="C13" s="6">
        <v>31156.056396484371</v>
      </c>
      <c r="D13" s="6">
        <v>24600</v>
      </c>
      <c r="E13" s="7">
        <v>0.38178189905678334</v>
      </c>
      <c r="F13" s="7">
        <v>0.26650635758066549</v>
      </c>
      <c r="G13" s="7">
        <v>0.15424031931939927</v>
      </c>
      <c r="H13" s="6">
        <v>24147.47544026043</v>
      </c>
      <c r="I13" s="6">
        <v>24600</v>
      </c>
      <c r="J13" s="7">
        <v>0.22784422645544355</v>
      </c>
      <c r="K13" s="11">
        <v>1.8395307306486572E-2</v>
      </c>
      <c r="L13" s="7">
        <v>7.5046145063687744E-2</v>
      </c>
      <c r="M13" s="6">
        <v>25589.076117024932</v>
      </c>
      <c r="N13" s="6">
        <v>24600</v>
      </c>
      <c r="O13" s="7">
        <v>0.19573070241852078</v>
      </c>
      <c r="P13" s="7">
        <v>4.0206346220525671E-2</v>
      </c>
      <c r="Q13" s="7">
        <v>0.12816131033939943</v>
      </c>
    </row>
    <row r="14" spans="2:17" x14ac:dyDescent="0.25">
      <c r="B14" s="5" t="s">
        <v>21</v>
      </c>
      <c r="C14" s="6">
        <v>83941.647338390729</v>
      </c>
      <c r="D14" s="6">
        <v>82871</v>
      </c>
      <c r="E14" s="7">
        <v>0.19194020983712831</v>
      </c>
      <c r="F14" s="7">
        <v>1.2919445142338438E-2</v>
      </c>
      <c r="G14" s="7">
        <v>6.3905893005343689E-2</v>
      </c>
      <c r="H14" s="6">
        <v>82472.640865842768</v>
      </c>
      <c r="I14" s="6">
        <v>82871</v>
      </c>
      <c r="J14" s="7">
        <v>0.24844748392408678</v>
      </c>
      <c r="K14" s="11">
        <v>4.8069787278690003E-3</v>
      </c>
      <c r="L14" s="7">
        <v>0.12756455044243215</v>
      </c>
      <c r="M14" s="6">
        <v>104979.3100903017</v>
      </c>
      <c r="N14" s="6">
        <v>82871</v>
      </c>
      <c r="O14" s="7">
        <v>0.3350518638376308</v>
      </c>
      <c r="P14" s="7">
        <v>0.26677981550001451</v>
      </c>
      <c r="Q14" s="7">
        <v>0.45808158814946048</v>
      </c>
    </row>
    <row r="15" spans="2:17" x14ac:dyDescent="0.25">
      <c r="B15" s="5" t="s">
        <v>23</v>
      </c>
      <c r="C15" s="6">
        <v>13799.069517039619</v>
      </c>
      <c r="D15" s="6">
        <v>15120</v>
      </c>
      <c r="E15" s="7">
        <v>0.32511559651052913</v>
      </c>
      <c r="F15" s="7">
        <v>8.7363127179919356E-2</v>
      </c>
      <c r="G15" s="7">
        <v>4.2024852668302595E-2</v>
      </c>
      <c r="H15" s="6">
        <v>15586.466960540558</v>
      </c>
      <c r="I15" s="6">
        <v>15120</v>
      </c>
      <c r="J15" s="7">
        <v>0.29012156992196292</v>
      </c>
      <c r="K15" s="11">
        <v>3.0850989453740603E-2</v>
      </c>
      <c r="L15" s="7">
        <v>0.18578242947255943</v>
      </c>
      <c r="M15" s="6">
        <v>14179.148937129732</v>
      </c>
      <c r="N15" s="6">
        <v>15120</v>
      </c>
      <c r="O15" s="7">
        <v>0.24960073823117793</v>
      </c>
      <c r="P15" s="7">
        <v>6.222559939618174E-2</v>
      </c>
      <c r="Q15" s="7">
        <v>6.017865170116319E-2</v>
      </c>
    </row>
    <row r="16" spans="2:17" x14ac:dyDescent="0.25">
      <c r="B16" s="5" t="s">
        <v>25</v>
      </c>
      <c r="C16" s="6">
        <v>23955</v>
      </c>
      <c r="D16" s="6">
        <v>27720</v>
      </c>
      <c r="E16" s="7">
        <v>0.59253246753246758</v>
      </c>
      <c r="F16" s="11">
        <v>0.13582251082251082</v>
      </c>
      <c r="G16" s="7">
        <v>1.2132115239258099</v>
      </c>
      <c r="H16" s="6">
        <v>20714.926690882672</v>
      </c>
      <c r="I16" s="6">
        <v>27720</v>
      </c>
      <c r="J16" s="7">
        <v>0.5758360128187594</v>
      </c>
      <c r="K16" s="7">
        <v>0.25270827233467996</v>
      </c>
      <c r="L16" s="7">
        <v>1.616306957959122</v>
      </c>
      <c r="M16" s="6">
        <v>8592.7391449885799</v>
      </c>
      <c r="N16" s="6">
        <v>27720</v>
      </c>
      <c r="O16" s="7">
        <v>0.69001662536116226</v>
      </c>
      <c r="P16" s="7">
        <v>0.69001662536116237</v>
      </c>
      <c r="Q16" s="7">
        <v>-0.60868342190132607</v>
      </c>
    </row>
    <row r="17" spans="2:17" x14ac:dyDescent="0.25">
      <c r="B17" s="5" t="s">
        <v>27</v>
      </c>
      <c r="C17" s="6">
        <v>32185.36083984375</v>
      </c>
      <c r="D17" s="6">
        <v>33900</v>
      </c>
      <c r="E17" s="7">
        <v>0.19539596872695428</v>
      </c>
      <c r="F17" s="7">
        <v>5.0579326258296461E-2</v>
      </c>
      <c r="G17" s="7">
        <v>3.6157296402882844E-2</v>
      </c>
      <c r="H17" s="6">
        <v>32269.107342975651</v>
      </c>
      <c r="I17" s="6">
        <v>33900</v>
      </c>
      <c r="J17" s="7">
        <v>0.28895269688987463</v>
      </c>
      <c r="K17" s="11">
        <v>4.8108927935821513E-2</v>
      </c>
      <c r="L17" s="7">
        <v>9.5555629434852532E-2</v>
      </c>
      <c r="M17" s="6">
        <v>30121.35303665878</v>
      </c>
      <c r="N17" s="6">
        <v>33900</v>
      </c>
      <c r="O17" s="7">
        <v>0.32125047927879236</v>
      </c>
      <c r="P17" s="7">
        <v>0.11146451219295633</v>
      </c>
      <c r="Q17" s="7">
        <v>2.744007385604063E-2</v>
      </c>
    </row>
    <row r="18" spans="2:17" x14ac:dyDescent="0.25">
      <c r="B18" s="5" t="s">
        <v>28</v>
      </c>
      <c r="C18" s="6">
        <v>64601.066668526764</v>
      </c>
      <c r="D18" s="6">
        <v>60360</v>
      </c>
      <c r="E18" s="7">
        <v>0.52528675504075584</v>
      </c>
      <c r="F18" s="11">
        <v>7.0262867271815174E-2</v>
      </c>
      <c r="G18" s="7">
        <v>0.18843849032294255</v>
      </c>
      <c r="H18" s="6">
        <v>69002.478992256321</v>
      </c>
      <c r="I18" s="6">
        <v>60360</v>
      </c>
      <c r="J18" s="7">
        <v>0.31015090294755332</v>
      </c>
      <c r="K18" s="7">
        <v>0.14318222319841487</v>
      </c>
      <c r="L18" s="7">
        <v>0.35872969338198973</v>
      </c>
      <c r="M18" s="6">
        <v>153086.55556094091</v>
      </c>
      <c r="N18" s="6">
        <v>60360</v>
      </c>
      <c r="O18" s="7">
        <v>1.5362252412349389</v>
      </c>
      <c r="P18" s="7">
        <v>1.5362252412349389</v>
      </c>
      <c r="Q18" s="7">
        <v>2.2092706230601658</v>
      </c>
    </row>
    <row r="19" spans="2:17" x14ac:dyDescent="0.25">
      <c r="B19" s="5" t="s">
        <v>29</v>
      </c>
      <c r="C19" s="6">
        <v>26304.742187499989</v>
      </c>
      <c r="D19" s="6">
        <v>30600</v>
      </c>
      <c r="E19" s="7">
        <v>0.44335363051470622</v>
      </c>
      <c r="F19" s="7">
        <v>0.1403679023692814</v>
      </c>
      <c r="G19" s="7">
        <v>0.29204145386705321</v>
      </c>
      <c r="H19" s="6">
        <v>27254.33741798277</v>
      </c>
      <c r="I19" s="6">
        <v>30600</v>
      </c>
      <c r="J19" s="7">
        <v>0.26694733981566965</v>
      </c>
      <c r="K19" s="7">
        <v>0.1093353784972951</v>
      </c>
      <c r="L19" s="7">
        <v>0.15269441545411699</v>
      </c>
      <c r="M19" s="6">
        <v>28900.162432287649</v>
      </c>
      <c r="N19" s="6">
        <v>30600</v>
      </c>
      <c r="O19" s="7">
        <v>0.31755322495909316</v>
      </c>
      <c r="P19" s="11">
        <v>5.5550247310861153E-2</v>
      </c>
      <c r="Q19" s="7">
        <v>0.32515485403849703</v>
      </c>
    </row>
    <row r="20" spans="2:17" x14ac:dyDescent="0.25">
      <c r="B20" s="5" t="s">
        <v>30</v>
      </c>
      <c r="C20" s="6">
        <v>24229.776127345769</v>
      </c>
      <c r="D20" s="6">
        <v>25080</v>
      </c>
      <c r="E20" s="7">
        <v>0.20987311114947407</v>
      </c>
      <c r="F20" s="11">
        <v>3.3900473391317021E-2</v>
      </c>
      <c r="G20" s="7">
        <v>0.20928397109655483</v>
      </c>
      <c r="H20" s="6">
        <v>20958.308216042176</v>
      </c>
      <c r="I20" s="6">
        <v>25080</v>
      </c>
      <c r="J20" s="7">
        <v>0.25315695691653695</v>
      </c>
      <c r="K20" s="7">
        <v>0.16434177766976968</v>
      </c>
      <c r="L20" s="7">
        <v>-7.2794642841945778E-3</v>
      </c>
      <c r="M20" s="6">
        <v>22902.905465199659</v>
      </c>
      <c r="N20" s="6">
        <v>25080</v>
      </c>
      <c r="O20" s="7">
        <v>0.27067229643285012</v>
      </c>
      <c r="P20" s="7">
        <v>8.6806002185021561E-2</v>
      </c>
      <c r="Q20" s="7">
        <v>0.16442806321518494</v>
      </c>
    </row>
    <row r="21" spans="2:17" x14ac:dyDescent="0.25">
      <c r="B21" s="5" t="s">
        <v>32</v>
      </c>
      <c r="C21" s="6">
        <v>33888.737571178754</v>
      </c>
      <c r="D21" s="6">
        <v>33600</v>
      </c>
      <c r="E21" s="7">
        <v>0.12927793562444109</v>
      </c>
      <c r="F21" s="7">
        <v>8.5933800946057601E-3</v>
      </c>
      <c r="G21" s="7">
        <v>1.0150829972600481E-2</v>
      </c>
      <c r="H21" s="6">
        <v>33808.032801183494</v>
      </c>
      <c r="I21" s="6">
        <v>33600</v>
      </c>
      <c r="J21" s="7">
        <v>0.20472221787112499</v>
      </c>
      <c r="K21" s="11">
        <v>6.1914524161754041E-3</v>
      </c>
      <c r="L21" s="7">
        <v>1.7606313214100784E-2</v>
      </c>
      <c r="M21" s="6">
        <v>34244.818241891015</v>
      </c>
      <c r="N21" s="6">
        <v>33600</v>
      </c>
      <c r="O21" s="7">
        <v>0.203026879925222</v>
      </c>
      <c r="P21" s="7">
        <v>1.9191019103899244E-2</v>
      </c>
      <c r="Q21" s="7">
        <v>7.5876839346531597E-2</v>
      </c>
    </row>
    <row r="22" spans="2:17" x14ac:dyDescent="0.25">
      <c r="B22" s="5" t="s">
        <v>33</v>
      </c>
      <c r="C22" s="6">
        <v>29432.423931623918</v>
      </c>
      <c r="D22" s="6">
        <v>28560</v>
      </c>
      <c r="E22" s="7">
        <v>0.50213124566065126</v>
      </c>
      <c r="F22" s="11">
        <v>3.05470564294089E-2</v>
      </c>
      <c r="G22" s="7">
        <v>0.44462128486031055</v>
      </c>
      <c r="H22" s="6">
        <v>30037.202090963947</v>
      </c>
      <c r="I22" s="6">
        <v>28560</v>
      </c>
      <c r="J22" s="7">
        <v>0.40655247913627834</v>
      </c>
      <c r="K22" s="7">
        <v>5.17227622886536E-2</v>
      </c>
      <c r="L22" s="7">
        <v>0.33242784381994861</v>
      </c>
      <c r="M22" s="6">
        <v>22787.172207550349</v>
      </c>
      <c r="N22" s="6">
        <v>28560</v>
      </c>
      <c r="O22" s="7">
        <v>0.42464118366775799</v>
      </c>
      <c r="P22" s="7">
        <v>0.202129824665604</v>
      </c>
      <c r="Q22" s="7">
        <v>-3.3488518563799308E-2</v>
      </c>
    </row>
    <row r="23" spans="2:17" x14ac:dyDescent="0.25">
      <c r="B23" s="5" t="s">
        <v>35</v>
      </c>
      <c r="C23" s="6">
        <v>14531.363155721549</v>
      </c>
      <c r="D23" s="6">
        <v>14280</v>
      </c>
      <c r="E23" s="7">
        <v>0.20980303002238154</v>
      </c>
      <c r="F23" s="11">
        <v>1.7602461885262502E-2</v>
      </c>
      <c r="G23" s="7">
        <v>2.142583925975218E-2</v>
      </c>
      <c r="H23" s="6">
        <v>11732.302018720351</v>
      </c>
      <c r="I23" s="6">
        <v>14280</v>
      </c>
      <c r="J23" s="7">
        <v>0.31783727329936357</v>
      </c>
      <c r="K23" s="7">
        <v>0.1784102227786869</v>
      </c>
      <c r="L23" s="7">
        <v>-0.1331000895523119</v>
      </c>
      <c r="M23" s="6">
        <v>13720.883485649963</v>
      </c>
      <c r="N23" s="6">
        <v>14280</v>
      </c>
      <c r="O23" s="7">
        <v>0.34658716286959823</v>
      </c>
      <c r="P23" s="7">
        <v>3.9153817531515166E-2</v>
      </c>
      <c r="Q23" s="7">
        <v>6.9312631094971084E-3</v>
      </c>
    </row>
    <row r="24" spans="2:17" x14ac:dyDescent="0.25">
      <c r="B24" s="5" t="s">
        <v>37</v>
      </c>
      <c r="C24" s="6">
        <v>14240.584600225311</v>
      </c>
      <c r="D24" s="6">
        <v>16080</v>
      </c>
      <c r="E24" s="7">
        <v>0.16583223503011377</v>
      </c>
      <c r="F24" s="11">
        <v>0.1143915049611125</v>
      </c>
      <c r="G24" s="7">
        <v>-6.3980260681066894E-2</v>
      </c>
      <c r="H24" s="6">
        <v>14037.653355664504</v>
      </c>
      <c r="I24" s="6">
        <v>16080</v>
      </c>
      <c r="J24" s="7">
        <v>0.26400089798561543</v>
      </c>
      <c r="K24" s="7">
        <v>0.12701160723479449</v>
      </c>
      <c r="L24" s="7">
        <v>-0.10128226183105711</v>
      </c>
      <c r="M24" s="6">
        <v>13808.528842026679</v>
      </c>
      <c r="N24" s="6">
        <v>16080</v>
      </c>
      <c r="O24" s="7">
        <v>0.25744517125967908</v>
      </c>
      <c r="P24" s="7">
        <v>0.14126064415256973</v>
      </c>
      <c r="Q24" s="7">
        <v>-5.7289212558809144E-2</v>
      </c>
    </row>
    <row r="25" spans="2:17" x14ac:dyDescent="0.25">
      <c r="B25" s="5" t="s">
        <v>38</v>
      </c>
      <c r="C25" s="6">
        <v>92054.890269520576</v>
      </c>
      <c r="D25" s="6">
        <v>90000</v>
      </c>
      <c r="E25" s="7">
        <v>0.21847161825964434</v>
      </c>
      <c r="F25" s="11">
        <v>2.2832114105784181E-2</v>
      </c>
      <c r="G25" s="7">
        <v>0.12830051660088668</v>
      </c>
      <c r="H25" s="6">
        <v>94366.802571794004</v>
      </c>
      <c r="I25" s="6">
        <v>90000</v>
      </c>
      <c r="J25" s="7">
        <v>0.2528295110495844</v>
      </c>
      <c r="K25" s="7">
        <v>4.8520028575488927E-2</v>
      </c>
      <c r="L25" s="7">
        <v>0.16744963674551422</v>
      </c>
      <c r="M25" s="6">
        <v>98214.058090296909</v>
      </c>
      <c r="N25" s="6">
        <v>90000</v>
      </c>
      <c r="O25" s="7">
        <v>0.3735900173683811</v>
      </c>
      <c r="P25" s="7">
        <v>9.1267312114410096E-2</v>
      </c>
      <c r="Q25" s="7">
        <v>0.28874424763601553</v>
      </c>
    </row>
    <row r="26" spans="2:17" x14ac:dyDescent="0.25">
      <c r="B26" s="5" t="s">
        <v>40</v>
      </c>
      <c r="C26" s="6">
        <v>32699.097971436979</v>
      </c>
      <c r="D26" s="6">
        <v>30600</v>
      </c>
      <c r="E26" s="7">
        <v>0.20157555062195881</v>
      </c>
      <c r="F26" s="11">
        <v>6.8597972922777084E-2</v>
      </c>
      <c r="G26" s="7">
        <v>0.10145026851128296</v>
      </c>
      <c r="H26" s="6">
        <v>33362.057383714018</v>
      </c>
      <c r="I26" s="6">
        <v>30600</v>
      </c>
      <c r="J26" s="7">
        <v>0.12201544237227388</v>
      </c>
      <c r="K26" s="7">
        <v>9.0263313193268566E-2</v>
      </c>
      <c r="L26" s="7">
        <v>0.1232958027961175</v>
      </c>
      <c r="M26" s="6">
        <v>37387.744067894164</v>
      </c>
      <c r="N26" s="6">
        <v>30600</v>
      </c>
      <c r="O26" s="7">
        <v>0.22182170156516864</v>
      </c>
      <c r="P26" s="7">
        <v>0.22182170156516876</v>
      </c>
      <c r="Q26" s="7">
        <v>0.26008034290281629</v>
      </c>
    </row>
    <row r="27" spans="2:17" x14ac:dyDescent="0.25">
      <c r="B27" s="5" t="s">
        <v>41</v>
      </c>
      <c r="C27" s="6">
        <v>107008.0894604128</v>
      </c>
      <c r="D27" s="6">
        <v>101400</v>
      </c>
      <c r="E27" s="7">
        <v>0.11005348958181851</v>
      </c>
      <c r="F27" s="7">
        <v>5.530660217369622E-2</v>
      </c>
      <c r="G27" s="7">
        <v>7.7753761553092701E-2</v>
      </c>
      <c r="H27" s="6">
        <v>102332.40051479753</v>
      </c>
      <c r="I27" s="6">
        <v>101400</v>
      </c>
      <c r="J27" s="7">
        <v>8.3019094100971705E-2</v>
      </c>
      <c r="K27" s="11">
        <v>9.1952713490880255E-3</v>
      </c>
      <c r="L27" s="7">
        <v>2.4461110771042953E-2</v>
      </c>
      <c r="M27" s="6">
        <v>96773.380411412611</v>
      </c>
      <c r="N27" s="6">
        <v>101400</v>
      </c>
      <c r="O27" s="7">
        <v>0.10415999967553076</v>
      </c>
      <c r="P27" s="7">
        <v>4.5627412116246442E-2</v>
      </c>
      <c r="Q27" s="7">
        <v>-2.2673260816048962E-2</v>
      </c>
    </row>
    <row r="28" spans="2:17" x14ac:dyDescent="0.25">
      <c r="B28" s="5" t="s">
        <v>43</v>
      </c>
      <c r="C28" s="6">
        <v>20922.03054300752</v>
      </c>
      <c r="D28" s="6">
        <v>20850</v>
      </c>
      <c r="E28" s="7">
        <v>0.1155108285846657</v>
      </c>
      <c r="F28" s="11">
        <v>3.4547023025189669E-3</v>
      </c>
      <c r="G28" s="7">
        <v>4.2723561771832182E-2</v>
      </c>
      <c r="H28" s="6">
        <v>20322.777384388191</v>
      </c>
      <c r="I28" s="6">
        <v>20850</v>
      </c>
      <c r="J28" s="7">
        <v>0.17453837409694151</v>
      </c>
      <c r="K28" s="7">
        <v>2.5286456384259404E-2</v>
      </c>
      <c r="L28" s="7">
        <v>1.7214986693790124E-2</v>
      </c>
      <c r="M28" s="6">
        <v>17151.133420609789</v>
      </c>
      <c r="N28" s="6">
        <v>20850</v>
      </c>
      <c r="O28" s="7">
        <v>0.17740367287243214</v>
      </c>
      <c r="P28" s="7">
        <v>0.17740367287243219</v>
      </c>
      <c r="Q28" s="7">
        <v>-0.159014187233433</v>
      </c>
    </row>
    <row r="29" spans="2:17" x14ac:dyDescent="0.25">
      <c r="B29" s="5" t="s">
        <v>45</v>
      </c>
      <c r="C29" s="6">
        <v>85196.798828125</v>
      </c>
      <c r="D29" s="6">
        <v>70200</v>
      </c>
      <c r="E29" s="7">
        <v>0.32475001669337605</v>
      </c>
      <c r="F29" s="7">
        <v>0.21362961293625357</v>
      </c>
      <c r="G29" s="7">
        <v>0.79908456702993702</v>
      </c>
      <c r="H29" s="6">
        <v>59337.436858538793</v>
      </c>
      <c r="I29" s="6">
        <v>70200</v>
      </c>
      <c r="J29" s="7">
        <v>0.37028303657925793</v>
      </c>
      <c r="K29" s="7">
        <v>0.15473736668748159</v>
      </c>
      <c r="L29" s="7">
        <v>0.15530122052117235</v>
      </c>
      <c r="M29" s="6">
        <v>69332.629724448096</v>
      </c>
      <c r="N29" s="6">
        <v>70200</v>
      </c>
      <c r="O29" s="7">
        <v>0.40560081152868832</v>
      </c>
      <c r="P29" s="11">
        <v>1.2355701930938809E-2</v>
      </c>
      <c r="Q29" s="7">
        <v>0.50623310112901609</v>
      </c>
    </row>
    <row r="30" spans="2:17" x14ac:dyDescent="0.25">
      <c r="B30" s="5" t="s">
        <v>47</v>
      </c>
      <c r="C30" s="6">
        <v>6300</v>
      </c>
      <c r="D30" s="6">
        <v>14760</v>
      </c>
      <c r="E30" s="7">
        <v>0.9065040650406504</v>
      </c>
      <c r="F30" s="7">
        <v>0.57317073170731703</v>
      </c>
      <c r="G30" s="7">
        <v>0.44570542635658911</v>
      </c>
      <c r="H30" s="6">
        <v>8585.8988542080369</v>
      </c>
      <c r="I30" s="6">
        <v>14760</v>
      </c>
      <c r="J30" s="7">
        <v>0.58385192570291167</v>
      </c>
      <c r="K30" s="11">
        <v>0.41829953562276173</v>
      </c>
      <c r="L30" s="7">
        <v>-0.29224851927348211</v>
      </c>
      <c r="M30" s="6">
        <v>3817.4903265354451</v>
      </c>
      <c r="N30" s="6">
        <v>14760</v>
      </c>
      <c r="O30" s="7">
        <v>0.92195386585458494</v>
      </c>
      <c r="P30" s="7">
        <v>0.74136244400166362</v>
      </c>
      <c r="Q30" s="7">
        <v>0.1810994154476504</v>
      </c>
    </row>
    <row r="31" spans="2:17" x14ac:dyDescent="0.25">
      <c r="B31" s="5" t="s">
        <v>49</v>
      </c>
      <c r="C31" s="6">
        <v>9884.1384039002533</v>
      </c>
      <c r="D31" s="6">
        <v>7380</v>
      </c>
      <c r="E31" s="7">
        <v>0.53992959850354638</v>
      </c>
      <c r="F31" s="7">
        <v>0.33931414686995304</v>
      </c>
      <c r="G31" s="7">
        <v>0.56949875879499234</v>
      </c>
      <c r="H31" s="6">
        <v>5970.1806203764727</v>
      </c>
      <c r="I31" s="6">
        <v>7380</v>
      </c>
      <c r="J31" s="7">
        <v>0.5118626877774749</v>
      </c>
      <c r="K31" s="11">
        <v>0.19103243626335059</v>
      </c>
      <c r="L31" s="7">
        <v>0.13562322551737574</v>
      </c>
      <c r="M31" s="6">
        <v>11504.664053564558</v>
      </c>
      <c r="N31" s="6">
        <v>7380</v>
      </c>
      <c r="O31" s="7">
        <v>0.84987960724449862</v>
      </c>
      <c r="P31" s="7">
        <v>0.55889756823367998</v>
      </c>
      <c r="Q31" s="7">
        <v>2.5664072286504394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O158"/>
  <sheetViews>
    <sheetView zoomScale="115" zoomScaleNormal="115" workbookViewId="0">
      <selection activeCell="C3" sqref="C3"/>
    </sheetView>
  </sheetViews>
  <sheetFormatPr baseColWidth="10" defaultRowHeight="15" outlineLevelCol="1" x14ac:dyDescent="0.25"/>
  <cols>
    <col min="1" max="1" width="11.42578125" style="2"/>
    <col min="3" max="3" width="28.42578125" bestFit="1" customWidth="1"/>
    <col min="4" max="6" width="11.42578125" customWidth="1" outlineLevel="1"/>
    <col min="7" max="7" width="12" customWidth="1"/>
    <col min="8" max="8" width="12" customWidth="1" outlineLevel="1"/>
    <col min="9" max="9" width="14.85546875" bestFit="1" customWidth="1"/>
  </cols>
  <sheetData>
    <row r="2" spans="1:15" x14ac:dyDescent="0.25">
      <c r="A2" s="1" t="s">
        <v>93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58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3" t="s">
        <v>60</v>
      </c>
    </row>
    <row r="3" spans="1:15" x14ac:dyDescent="0.25">
      <c r="A3" s="2" t="s">
        <v>94</v>
      </c>
      <c r="B3" t="s">
        <v>6</v>
      </c>
      <c r="C3" t="s">
        <v>7</v>
      </c>
      <c r="D3">
        <v>3925.7900359975602</v>
      </c>
      <c r="E3">
        <v>4127.5523510104476</v>
      </c>
      <c r="F3">
        <v>25.56942245630032</v>
      </c>
      <c r="G3" t="s">
        <v>5</v>
      </c>
      <c r="H3">
        <f>_xlfn.XLOOKUP($B3,'raw data results'!$A:$A,'raw data results'!F:F)</f>
        <v>10722.697736602</v>
      </c>
      <c r="I3">
        <f>_xlfn.XLOOKUP($B3,'raw data results'!$A:$A,'raw data results'!G:G)</f>
        <v>19791.579510256499</v>
      </c>
      <c r="J3">
        <f>_xlfn.XLOOKUP($B3,'raw data results'!$A:$A,'raw data results'!H:H)</f>
        <v>7896.4810645132602</v>
      </c>
      <c r="K3">
        <f>_xlfn.XLOOKUP($B3,'raw data results'!$A:$A,'raw data results'!I:I)</f>
        <v>26674.5629564761</v>
      </c>
      <c r="L3">
        <f>_xlfn.XLOOKUP($B3,'raw data results'!$A:$A,'raw data results'!J:J)</f>
        <v>22781.427169962401</v>
      </c>
      <c r="M3">
        <f>_xlfn.XLOOKUP($B3,'raw data results'!$A:$A,'raw data results'!K:K)</f>
        <v>20655.848317415701</v>
      </c>
      <c r="N3">
        <f>_xlfn.XLOOKUP($B3,'raw data results'!$A:$A,'raw data results'!L:L)</f>
        <v>15708.6419094548</v>
      </c>
      <c r="O3">
        <f>SUM(H3:N3)</f>
        <v>124231.23866468076</v>
      </c>
    </row>
    <row r="4" spans="1:15" x14ac:dyDescent="0.25">
      <c r="A4" s="2" t="s">
        <v>94</v>
      </c>
      <c r="B4" t="s">
        <v>6</v>
      </c>
      <c r="G4" t="s">
        <v>59</v>
      </c>
      <c r="H4">
        <v>10800</v>
      </c>
      <c r="I4">
        <v>18000</v>
      </c>
      <c r="J4">
        <v>12000</v>
      </c>
      <c r="K4">
        <v>28320</v>
      </c>
      <c r="L4">
        <v>25800</v>
      </c>
      <c r="M4">
        <v>25800</v>
      </c>
      <c r="N4">
        <v>19800</v>
      </c>
      <c r="O4">
        <f t="shared" ref="O4:O46" si="0">SUM(H4:N4)</f>
        <v>140520</v>
      </c>
    </row>
    <row r="5" spans="1:15" x14ac:dyDescent="0.25">
      <c r="A5" s="2" t="s">
        <v>94</v>
      </c>
      <c r="B5" t="s">
        <v>27</v>
      </c>
      <c r="C5" t="s">
        <v>11</v>
      </c>
      <c r="D5">
        <v>989.15969777489931</v>
      </c>
      <c r="E5">
        <v>1182.289171929961</v>
      </c>
      <c r="F5">
        <v>34.357923627152111</v>
      </c>
      <c r="G5" t="s">
        <v>5</v>
      </c>
      <c r="H5">
        <f>_xlfn.XLOOKUP($B5,'raw data results'!$A:$A,'raw data results'!F:F)</f>
        <v>4085.81386897017</v>
      </c>
      <c r="I5">
        <f>_xlfn.XLOOKUP($B5,'raw data results'!$A:$A,'raw data results'!G:G)</f>
        <v>4836.60267704743</v>
      </c>
      <c r="J5">
        <f>_xlfn.XLOOKUP($B5,'raw data results'!$A:$A,'raw data results'!H:H)</f>
        <v>3246.7817154323002</v>
      </c>
      <c r="K5">
        <f>_xlfn.XLOOKUP($B5,'raw data results'!$A:$A,'raw data results'!I:I)</f>
        <v>5096.2826331039596</v>
      </c>
      <c r="L5">
        <f>_xlfn.XLOOKUP($B5,'raw data results'!$A:$A,'raw data results'!J:J)</f>
        <v>4387.6528222975803</v>
      </c>
      <c r="M5">
        <f>_xlfn.XLOOKUP($B5,'raw data results'!$A:$A,'raw data results'!K:K)</f>
        <v>4136.2052078321904</v>
      </c>
      <c r="N5">
        <f>_xlfn.XLOOKUP($B5,'raw data results'!$A:$A,'raw data results'!L:L)</f>
        <v>4332.0141119751497</v>
      </c>
      <c r="O5">
        <f t="shared" si="0"/>
        <v>30121.35303665878</v>
      </c>
    </row>
    <row r="6" spans="1:15" x14ac:dyDescent="0.25">
      <c r="A6" s="2" t="s">
        <v>94</v>
      </c>
      <c r="B6" t="s">
        <v>27</v>
      </c>
      <c r="G6" t="s">
        <v>59</v>
      </c>
      <c r="H6">
        <v>6000</v>
      </c>
      <c r="I6">
        <v>7050</v>
      </c>
      <c r="J6">
        <v>6000</v>
      </c>
      <c r="K6">
        <v>5550</v>
      </c>
      <c r="L6">
        <v>4050</v>
      </c>
      <c r="M6">
        <v>2250</v>
      </c>
      <c r="N6">
        <v>3000</v>
      </c>
      <c r="O6">
        <f t="shared" si="0"/>
        <v>33900</v>
      </c>
    </row>
    <row r="7" spans="1:15" x14ac:dyDescent="0.25">
      <c r="A7" s="2" t="s">
        <v>94</v>
      </c>
      <c r="B7" t="s">
        <v>38</v>
      </c>
      <c r="C7" t="s">
        <v>39</v>
      </c>
      <c r="D7">
        <v>4618.5294569916614</v>
      </c>
      <c r="E7">
        <v>5226.9588533476044</v>
      </c>
      <c r="F7">
        <v>64.938720114147969</v>
      </c>
      <c r="G7" t="s">
        <v>5</v>
      </c>
      <c r="H7">
        <f>_xlfn.XLOOKUP($B7,'raw data results'!$A:$A,'raw data results'!F:F)</f>
        <v>14746.6675137404</v>
      </c>
      <c r="I7">
        <f>_xlfn.XLOOKUP($B7,'raw data results'!$A:$A,'raw data results'!G:G)</f>
        <v>13473.321197925399</v>
      </c>
      <c r="J7">
        <f>_xlfn.XLOOKUP($B7,'raw data results'!$A:$A,'raw data results'!H:H)</f>
        <v>14330.2552756321</v>
      </c>
      <c r="K7">
        <f>_xlfn.XLOOKUP($B7,'raw data results'!$A:$A,'raw data results'!I:I)</f>
        <v>13622.459707747699</v>
      </c>
      <c r="L7">
        <f>_xlfn.XLOOKUP($B7,'raw data results'!$A:$A,'raw data results'!J:J)</f>
        <v>14199.6973578982</v>
      </c>
      <c r="M7">
        <f>_xlfn.XLOOKUP($B7,'raw data results'!$A:$A,'raw data results'!K:K)</f>
        <v>13728.5972429414</v>
      </c>
      <c r="N7">
        <f>_xlfn.XLOOKUP($B7,'raw data results'!$A:$A,'raw data results'!L:L)</f>
        <v>14113.0597944117</v>
      </c>
      <c r="O7">
        <f t="shared" si="0"/>
        <v>98214.058090296909</v>
      </c>
    </row>
    <row r="8" spans="1:15" x14ac:dyDescent="0.25">
      <c r="A8" s="2" t="s">
        <v>94</v>
      </c>
      <c r="B8" t="s">
        <v>38</v>
      </c>
      <c r="G8" t="s">
        <v>59</v>
      </c>
      <c r="H8">
        <v>12000</v>
      </c>
      <c r="I8">
        <v>18000</v>
      </c>
      <c r="J8">
        <v>9000</v>
      </c>
      <c r="K8">
        <v>21000</v>
      </c>
      <c r="L8">
        <v>15000</v>
      </c>
      <c r="M8">
        <v>6000</v>
      </c>
      <c r="N8">
        <v>9000</v>
      </c>
      <c r="O8">
        <f t="shared" si="0"/>
        <v>90000</v>
      </c>
    </row>
    <row r="9" spans="1:15" x14ac:dyDescent="0.25">
      <c r="A9" s="2" t="s">
        <v>94</v>
      </c>
      <c r="B9" t="s">
        <v>40</v>
      </c>
      <c r="C9" t="s">
        <v>31</v>
      </c>
      <c r="D9">
        <v>1220.241812445295</v>
      </c>
      <c r="E9">
        <v>1466.6586656585989</v>
      </c>
      <c r="F9">
        <v>32.756126858919252</v>
      </c>
      <c r="G9" t="s">
        <v>5</v>
      </c>
      <c r="H9">
        <f>_xlfn.XLOOKUP($B9,'raw data results'!$A:$A,'raw data results'!F:F)</f>
        <v>5332.2711770363203</v>
      </c>
      <c r="I9">
        <f>_xlfn.XLOOKUP($B9,'raw data results'!$A:$A,'raw data results'!G:G)</f>
        <v>5327.4007377220896</v>
      </c>
      <c r="J9">
        <f>_xlfn.XLOOKUP($B9,'raw data results'!$A:$A,'raw data results'!H:H)</f>
        <v>5357.7884608918403</v>
      </c>
      <c r="K9">
        <f>_xlfn.XLOOKUP($B9,'raw data results'!$A:$A,'raw data results'!I:I)</f>
        <v>5331.7388730472403</v>
      </c>
      <c r="L9">
        <f>_xlfn.XLOOKUP($B9,'raw data results'!$A:$A,'raw data results'!J:J)</f>
        <v>5353.0418270692799</v>
      </c>
      <c r="M9">
        <f>_xlfn.XLOOKUP($B9,'raw data results'!$A:$A,'raw data results'!K:K)</f>
        <v>5335.6676098291</v>
      </c>
      <c r="N9">
        <f>_xlfn.XLOOKUP($B9,'raw data results'!$A:$A,'raw data results'!L:L)</f>
        <v>5349.8353822982899</v>
      </c>
      <c r="O9">
        <f t="shared" si="0"/>
        <v>37387.744067894164</v>
      </c>
    </row>
    <row r="10" spans="1:15" x14ac:dyDescent="0.25">
      <c r="A10" s="2" t="s">
        <v>94</v>
      </c>
      <c r="B10" t="s">
        <v>40</v>
      </c>
      <c r="G10" t="s">
        <v>59</v>
      </c>
      <c r="H10">
        <v>3750</v>
      </c>
      <c r="I10">
        <v>4800</v>
      </c>
      <c r="J10">
        <v>4800</v>
      </c>
      <c r="K10">
        <v>5250</v>
      </c>
      <c r="L10">
        <v>4500</v>
      </c>
      <c r="M10">
        <v>3000</v>
      </c>
      <c r="N10">
        <v>4500</v>
      </c>
      <c r="O10">
        <f t="shared" si="0"/>
        <v>30600</v>
      </c>
    </row>
    <row r="11" spans="1:15" x14ac:dyDescent="0.25">
      <c r="A11" s="2" t="s">
        <v>94</v>
      </c>
      <c r="B11" t="s">
        <v>41</v>
      </c>
      <c r="C11" t="s">
        <v>42</v>
      </c>
      <c r="D11">
        <v>2353.5581309654849</v>
      </c>
      <c r="E11">
        <v>3157.6619219648269</v>
      </c>
      <c r="F11">
        <v>25.146900039977101</v>
      </c>
      <c r="G11" t="s">
        <v>5</v>
      </c>
      <c r="H11">
        <f>_xlfn.XLOOKUP($B11,'raw data results'!$A:$A,'raw data results'!F:F)</f>
        <v>12218.277785727199</v>
      </c>
      <c r="I11">
        <f>_xlfn.XLOOKUP($B11,'raw data results'!$A:$A,'raw data results'!G:G)</f>
        <v>17132.901454933701</v>
      </c>
      <c r="J11">
        <f>_xlfn.XLOOKUP($B11,'raw data results'!$A:$A,'raw data results'!H:H)</f>
        <v>9528.1508725311196</v>
      </c>
      <c r="K11">
        <f>_xlfn.XLOOKUP($B11,'raw data results'!$A:$A,'raw data results'!I:I)</f>
        <v>15421.173530997399</v>
      </c>
      <c r="L11">
        <f>_xlfn.XLOOKUP($B11,'raw data results'!$A:$A,'raw data results'!J:J)</f>
        <v>12246.892034079099</v>
      </c>
      <c r="M11">
        <f>_xlfn.XLOOKUP($B11,'raw data results'!$A:$A,'raw data results'!K:K)</f>
        <v>15673.6204834861</v>
      </c>
      <c r="N11">
        <f>_xlfn.XLOOKUP($B11,'raw data results'!$A:$A,'raw data results'!L:L)</f>
        <v>14552.364249658</v>
      </c>
      <c r="O11">
        <f t="shared" si="0"/>
        <v>96773.380411412611</v>
      </c>
    </row>
    <row r="12" spans="1:15" x14ac:dyDescent="0.25">
      <c r="A12" s="2" t="s">
        <v>94</v>
      </c>
      <c r="B12" t="s">
        <v>41</v>
      </c>
      <c r="G12" t="s">
        <v>59</v>
      </c>
      <c r="H12">
        <v>12000</v>
      </c>
      <c r="I12">
        <v>18000</v>
      </c>
      <c r="J12">
        <v>9000</v>
      </c>
      <c r="K12">
        <v>13200</v>
      </c>
      <c r="L12">
        <v>13200</v>
      </c>
      <c r="M12">
        <v>21000</v>
      </c>
      <c r="N12">
        <v>15000</v>
      </c>
      <c r="O12">
        <f t="shared" si="0"/>
        <v>101400</v>
      </c>
    </row>
    <row r="13" spans="1:15" x14ac:dyDescent="0.25">
      <c r="A13" s="2" t="s">
        <v>94</v>
      </c>
      <c r="B13" t="s">
        <v>43</v>
      </c>
      <c r="C13" t="s">
        <v>44</v>
      </c>
      <c r="D13">
        <v>753.87503631855714</v>
      </c>
      <c r="E13">
        <v>857.07940067147956</v>
      </c>
      <c r="F13">
        <v>37.464813898128398</v>
      </c>
      <c r="G13" t="s">
        <v>5</v>
      </c>
      <c r="H13">
        <f>_xlfn.XLOOKUP($B13,'raw data results'!$A:$A,'raw data results'!F:F)</f>
        <v>2556.4320995406001</v>
      </c>
      <c r="I13">
        <f>_xlfn.XLOOKUP($B13,'raw data results'!$A:$A,'raw data results'!G:G)</f>
        <v>3284.7062317079299</v>
      </c>
      <c r="J13">
        <f>_xlfn.XLOOKUP($B13,'raw data results'!$A:$A,'raw data results'!H:H)</f>
        <v>1467.3869010185499</v>
      </c>
      <c r="K13">
        <f>_xlfn.XLOOKUP($B13,'raw data results'!$A:$A,'raw data results'!I:I)</f>
        <v>3114.4005369061802</v>
      </c>
      <c r="L13">
        <f>_xlfn.XLOOKUP($B13,'raw data results'!$A:$A,'raw data results'!J:J)</f>
        <v>2242.1599360691498</v>
      </c>
      <c r="M13">
        <f>_xlfn.XLOOKUP($B13,'raw data results'!$A:$A,'raw data results'!K:K)</f>
        <v>2032.6654823399899</v>
      </c>
      <c r="N13">
        <f>_xlfn.XLOOKUP($B13,'raw data results'!$A:$A,'raw data results'!L:L)</f>
        <v>2453.3822330273902</v>
      </c>
      <c r="O13">
        <f t="shared" si="0"/>
        <v>17151.133420609789</v>
      </c>
    </row>
    <row r="14" spans="1:15" x14ac:dyDescent="0.25">
      <c r="A14" s="2" t="s">
        <v>94</v>
      </c>
      <c r="B14" t="s">
        <v>43</v>
      </c>
      <c r="G14" t="s">
        <v>59</v>
      </c>
      <c r="H14">
        <v>3750</v>
      </c>
      <c r="I14">
        <v>3300</v>
      </c>
      <c r="J14">
        <v>1500</v>
      </c>
      <c r="K14">
        <v>3900</v>
      </c>
      <c r="L14">
        <v>3150</v>
      </c>
      <c r="M14">
        <v>2250</v>
      </c>
      <c r="N14">
        <v>3000</v>
      </c>
      <c r="O14">
        <f t="shared" si="0"/>
        <v>20850</v>
      </c>
    </row>
    <row r="15" spans="1:15" x14ac:dyDescent="0.25">
      <c r="A15" s="2" t="s">
        <v>94</v>
      </c>
      <c r="B15" t="s">
        <v>45</v>
      </c>
      <c r="C15" t="s">
        <v>46</v>
      </c>
      <c r="D15">
        <v>1956.1898671868439</v>
      </c>
      <c r="E15">
        <v>2190.928740080059</v>
      </c>
      <c r="F15">
        <v>34.711814135757031</v>
      </c>
      <c r="G15" t="s">
        <v>5</v>
      </c>
      <c r="H15">
        <f>_xlfn.XLOOKUP($B15,'raw data results'!$A:$A,'raw data results'!F:F)</f>
        <v>9923.9196838050793</v>
      </c>
      <c r="I15">
        <f>_xlfn.XLOOKUP($B15,'raw data results'!$A:$A,'raw data results'!G:G)</f>
        <v>9901.4516734405006</v>
      </c>
      <c r="J15">
        <f>_xlfn.XLOOKUP($B15,'raw data results'!$A:$A,'raw data results'!H:H)</f>
        <v>9901.4516734405006</v>
      </c>
      <c r="K15">
        <f>_xlfn.XLOOKUP($B15,'raw data results'!$A:$A,'raw data results'!I:I)</f>
        <v>9901.4516734405006</v>
      </c>
      <c r="L15">
        <f>_xlfn.XLOOKUP($B15,'raw data results'!$A:$A,'raw data results'!J:J)</f>
        <v>9901.4516734405006</v>
      </c>
      <c r="M15">
        <f>_xlfn.XLOOKUP($B15,'raw data results'!$A:$A,'raw data results'!K:K)</f>
        <v>9901.4516734405006</v>
      </c>
      <c r="N15">
        <f>_xlfn.XLOOKUP($B15,'raw data results'!$A:$A,'raw data results'!L:L)</f>
        <v>9901.4516734405006</v>
      </c>
      <c r="O15">
        <f t="shared" si="0"/>
        <v>69332.629724448096</v>
      </c>
    </row>
    <row r="16" spans="1:15" x14ac:dyDescent="0.25">
      <c r="A16" s="2" t="s">
        <v>94</v>
      </c>
      <c r="B16" t="s">
        <v>45</v>
      </c>
      <c r="G16" t="s">
        <v>59</v>
      </c>
      <c r="H16">
        <v>15000</v>
      </c>
      <c r="I16">
        <v>15000</v>
      </c>
      <c r="J16">
        <v>3000</v>
      </c>
      <c r="K16">
        <v>12000</v>
      </c>
      <c r="L16">
        <v>12000</v>
      </c>
      <c r="M16">
        <v>3000</v>
      </c>
      <c r="N16">
        <v>10200</v>
      </c>
      <c r="O16">
        <f t="shared" si="0"/>
        <v>70200</v>
      </c>
    </row>
    <row r="17" spans="1:15" x14ac:dyDescent="0.25">
      <c r="A17" s="2" t="s">
        <v>94</v>
      </c>
      <c r="B17" t="s">
        <v>47</v>
      </c>
      <c r="C17" t="s">
        <v>48</v>
      </c>
      <c r="D17">
        <v>962.4431793768556</v>
      </c>
      <c r="E17">
        <v>1179.105688242111</v>
      </c>
      <c r="F17">
        <v>45.400550503093548</v>
      </c>
      <c r="G17" t="s">
        <v>5</v>
      </c>
      <c r="H17">
        <f>_xlfn.XLOOKUP($B17,'raw data results'!$A:$A,'raw data results'!F:F)</f>
        <v>1632.7646932745599</v>
      </c>
      <c r="I17">
        <f>_xlfn.XLOOKUP($B17,'raw data results'!$A:$A,'raw data results'!G:G)</f>
        <v>0</v>
      </c>
      <c r="J17">
        <f>_xlfn.XLOOKUP($B17,'raw data results'!$A:$A,'raw data results'!H:H)</f>
        <v>0</v>
      </c>
      <c r="K17">
        <f>_xlfn.XLOOKUP($B17,'raw data results'!$A:$A,'raw data results'!I:I)</f>
        <v>0</v>
      </c>
      <c r="L17">
        <f>_xlfn.XLOOKUP($B17,'raw data results'!$A:$A,'raw data results'!J:J)</f>
        <v>1391.49927931407</v>
      </c>
      <c r="M17">
        <f>_xlfn.XLOOKUP($B17,'raw data results'!$A:$A,'raw data results'!K:K)</f>
        <v>793.22635394681504</v>
      </c>
      <c r="N17">
        <f>_xlfn.XLOOKUP($B17,'raw data results'!$A:$A,'raw data results'!L:L)</f>
        <v>0</v>
      </c>
      <c r="O17">
        <f t="shared" si="0"/>
        <v>3817.4903265354451</v>
      </c>
    </row>
    <row r="18" spans="1:15" x14ac:dyDescent="0.25">
      <c r="A18" s="2" t="s">
        <v>94</v>
      </c>
      <c r="B18" t="s">
        <v>47</v>
      </c>
      <c r="G18" t="s">
        <v>59</v>
      </c>
      <c r="H18">
        <v>300</v>
      </c>
      <c r="I18">
        <v>600</v>
      </c>
      <c r="J18">
        <v>0</v>
      </c>
      <c r="K18">
        <v>0</v>
      </c>
      <c r="L18">
        <v>4500</v>
      </c>
      <c r="M18">
        <v>5160</v>
      </c>
      <c r="N18">
        <v>4200</v>
      </c>
      <c r="O18">
        <f t="shared" si="0"/>
        <v>14760</v>
      </c>
    </row>
    <row r="19" spans="1:15" x14ac:dyDescent="0.25">
      <c r="A19" s="2" t="s">
        <v>94</v>
      </c>
      <c r="B19" t="s">
        <v>49</v>
      </c>
      <c r="C19" t="s">
        <v>50</v>
      </c>
      <c r="D19">
        <v>462.65278701651039</v>
      </c>
      <c r="E19">
        <v>523.1664641103107</v>
      </c>
      <c r="F19">
        <v>107.072613748397</v>
      </c>
      <c r="G19" t="s">
        <v>5</v>
      </c>
      <c r="H19">
        <f>_xlfn.XLOOKUP($B19,'raw data results'!$A:$A,'raw data results'!F:F)</f>
        <v>1509.1085700966501</v>
      </c>
      <c r="I19">
        <f>_xlfn.XLOOKUP($B19,'raw data results'!$A:$A,'raw data results'!G:G)</f>
        <v>1532.0610623723901</v>
      </c>
      <c r="J19">
        <f>_xlfn.XLOOKUP($B19,'raw data results'!$A:$A,'raw data results'!H:H)</f>
        <v>1409.4255378264399</v>
      </c>
      <c r="K19">
        <f>_xlfn.XLOOKUP($B19,'raw data results'!$A:$A,'raw data results'!I:I)</f>
        <v>2022.16131532073</v>
      </c>
      <c r="L19">
        <f>_xlfn.XLOOKUP($B19,'raw data results'!$A:$A,'raw data results'!J:J)</f>
        <v>1582.1885695108599</v>
      </c>
      <c r="M19">
        <f>_xlfn.XLOOKUP($B19,'raw data results'!$A:$A,'raw data results'!K:K)</f>
        <v>1834.2152136776899</v>
      </c>
      <c r="N19">
        <f>_xlfn.XLOOKUP($B19,'raw data results'!$A:$A,'raw data results'!L:L)</f>
        <v>1615.5037847598001</v>
      </c>
      <c r="O19">
        <f t="shared" si="0"/>
        <v>11504.664053564558</v>
      </c>
    </row>
    <row r="20" spans="1:15" x14ac:dyDescent="0.25">
      <c r="A20" s="2" t="s">
        <v>94</v>
      </c>
      <c r="B20" t="s">
        <v>49</v>
      </c>
      <c r="G20" t="s">
        <v>59</v>
      </c>
      <c r="H20">
        <v>0</v>
      </c>
      <c r="I20">
        <v>1680</v>
      </c>
      <c r="J20">
        <v>420</v>
      </c>
      <c r="K20">
        <v>1200</v>
      </c>
      <c r="L20">
        <v>1200</v>
      </c>
      <c r="M20">
        <v>2760</v>
      </c>
      <c r="N20">
        <v>120</v>
      </c>
      <c r="O20">
        <f t="shared" si="0"/>
        <v>7380</v>
      </c>
    </row>
    <row r="21" spans="1:15" x14ac:dyDescent="0.25">
      <c r="A21" s="2" t="s">
        <v>94</v>
      </c>
      <c r="B21" t="s">
        <v>8</v>
      </c>
      <c r="C21" t="s">
        <v>9</v>
      </c>
      <c r="D21">
        <v>250.8257294371891</v>
      </c>
      <c r="E21">
        <v>290.17225582680391</v>
      </c>
      <c r="F21">
        <v>36.626048430824078</v>
      </c>
      <c r="G21" t="s">
        <v>5</v>
      </c>
      <c r="H21">
        <f>_xlfn.XLOOKUP($B21,'raw data results'!$A:$A,'raw data results'!F:F)</f>
        <v>841.75929739517005</v>
      </c>
      <c r="I21">
        <f>_xlfn.XLOOKUP($B21,'raw data results'!$A:$A,'raw data results'!G:G)</f>
        <v>977.85599506964002</v>
      </c>
      <c r="J21">
        <f>_xlfn.XLOOKUP($B21,'raw data results'!$A:$A,'raw data results'!H:H)</f>
        <v>812.597139848751</v>
      </c>
      <c r="K21">
        <f>_xlfn.XLOOKUP($B21,'raw data results'!$A:$A,'raw data results'!I:I)</f>
        <v>1330.5484574053601</v>
      </c>
      <c r="L21">
        <f>_xlfn.XLOOKUP($B21,'raw data results'!$A:$A,'raw data results'!J:J)</f>
        <v>1308.2940500686</v>
      </c>
      <c r="M21">
        <f>_xlfn.XLOOKUP($B21,'raw data results'!$A:$A,'raw data results'!K:K)</f>
        <v>516.89774187984494</v>
      </c>
      <c r="N21">
        <f>_xlfn.XLOOKUP($B21,'raw data results'!$A:$A,'raw data results'!L:L)</f>
        <v>1511.70894277705</v>
      </c>
      <c r="O21">
        <f t="shared" si="0"/>
        <v>7299.6616244444158</v>
      </c>
    </row>
    <row r="22" spans="1:15" x14ac:dyDescent="0.25">
      <c r="A22" s="2" t="s">
        <v>94</v>
      </c>
      <c r="B22" t="s">
        <v>8</v>
      </c>
      <c r="G22" t="s">
        <v>59</v>
      </c>
      <c r="H22">
        <v>1500</v>
      </c>
      <c r="I22">
        <v>1080</v>
      </c>
      <c r="J22">
        <v>1200</v>
      </c>
      <c r="K22">
        <v>1500</v>
      </c>
      <c r="L22">
        <v>1620</v>
      </c>
      <c r="M22">
        <v>600</v>
      </c>
      <c r="N22">
        <v>1680</v>
      </c>
      <c r="O22">
        <f t="shared" si="0"/>
        <v>9180</v>
      </c>
    </row>
    <row r="23" spans="1:15" x14ac:dyDescent="0.25">
      <c r="A23" s="2" t="s">
        <v>94</v>
      </c>
      <c r="B23" t="s">
        <v>10</v>
      </c>
      <c r="C23" t="s">
        <v>11</v>
      </c>
      <c r="D23">
        <v>232.01019361116209</v>
      </c>
      <c r="E23">
        <v>321.73949429821857</v>
      </c>
      <c r="F23">
        <v>21.22618517996062</v>
      </c>
      <c r="G23" t="s">
        <v>5</v>
      </c>
      <c r="H23">
        <f>_xlfn.XLOOKUP($B23,'raw data results'!$A:$A,'raw data results'!F:F)</f>
        <v>970.47011124303799</v>
      </c>
      <c r="I23">
        <f>_xlfn.XLOOKUP($B23,'raw data results'!$A:$A,'raw data results'!G:G)</f>
        <v>1272.61443443966</v>
      </c>
      <c r="J23">
        <f>_xlfn.XLOOKUP($B23,'raw data results'!$A:$A,'raw data results'!H:H)</f>
        <v>799.07759034550895</v>
      </c>
      <c r="K23">
        <f>_xlfn.XLOOKUP($B23,'raw data results'!$A:$A,'raw data results'!I:I)</f>
        <v>1215.3485033485799</v>
      </c>
      <c r="L23">
        <f>_xlfn.XLOOKUP($B23,'raw data results'!$A:$A,'raw data results'!J:J)</f>
        <v>1344.52339609717</v>
      </c>
      <c r="M23">
        <f>_xlfn.XLOOKUP($B23,'raw data results'!$A:$A,'raw data results'!K:K)</f>
        <v>909.77352726556705</v>
      </c>
      <c r="N23">
        <f>_xlfn.XLOOKUP($B23,'raw data results'!$A:$A,'raw data results'!L:L)</f>
        <v>1559.9264875184799</v>
      </c>
      <c r="O23">
        <f t="shared" si="0"/>
        <v>8071.7340502580046</v>
      </c>
    </row>
    <row r="24" spans="1:15" x14ac:dyDescent="0.25">
      <c r="A24" s="2" t="s">
        <v>94</v>
      </c>
      <c r="B24" t="s">
        <v>10</v>
      </c>
      <c r="G24" t="s">
        <v>59</v>
      </c>
      <c r="H24">
        <v>660</v>
      </c>
      <c r="I24">
        <v>1680</v>
      </c>
      <c r="J24">
        <v>360</v>
      </c>
      <c r="K24">
        <v>1080</v>
      </c>
      <c r="L24">
        <v>1380</v>
      </c>
      <c r="M24">
        <v>600</v>
      </c>
      <c r="N24">
        <v>1440</v>
      </c>
      <c r="O24">
        <f t="shared" si="0"/>
        <v>7200</v>
      </c>
    </row>
    <row r="25" spans="1:15" x14ac:dyDescent="0.25">
      <c r="A25" s="2" t="s">
        <v>94</v>
      </c>
      <c r="B25" t="s">
        <v>12</v>
      </c>
      <c r="C25" t="s">
        <v>13</v>
      </c>
      <c r="D25">
        <v>296.26053684072389</v>
      </c>
      <c r="E25">
        <v>356.25712892085892</v>
      </c>
      <c r="F25">
        <v>67.848572106542051</v>
      </c>
      <c r="G25" t="s">
        <v>5</v>
      </c>
      <c r="H25">
        <f>_xlfn.XLOOKUP($B25,'raw data results'!$A:$A,'raw data results'!F:F)</f>
        <v>408.048053128422</v>
      </c>
      <c r="I25">
        <f>_xlfn.XLOOKUP($B25,'raw data results'!$A:$A,'raw data results'!G:G)</f>
        <v>396.62440921065303</v>
      </c>
      <c r="J25">
        <f>_xlfn.XLOOKUP($B25,'raw data results'!$A:$A,'raw data results'!H:H)</f>
        <v>398.961839220858</v>
      </c>
      <c r="K25">
        <f>_xlfn.XLOOKUP($B25,'raw data results'!$A:$A,'raw data results'!I:I)</f>
        <v>399.00846552667099</v>
      </c>
      <c r="L25">
        <f>_xlfn.XLOOKUP($B25,'raw data results'!$A:$A,'raw data results'!J:J)</f>
        <v>399.00939561329699</v>
      </c>
      <c r="M25">
        <f>_xlfn.XLOOKUP($B25,'raw data results'!$A:$A,'raw data results'!K:K)</f>
        <v>399.009414166368</v>
      </c>
      <c r="N25">
        <f>_xlfn.XLOOKUP($B25,'raw data results'!$A:$A,'raw data results'!L:L)</f>
        <v>399.009414536458</v>
      </c>
      <c r="O25">
        <f t="shared" si="0"/>
        <v>2799.6709914027269</v>
      </c>
    </row>
    <row r="26" spans="1:15" x14ac:dyDescent="0.25">
      <c r="A26" s="2" t="s">
        <v>94</v>
      </c>
      <c r="B26" t="s">
        <v>12</v>
      </c>
      <c r="G26" t="s">
        <v>59</v>
      </c>
      <c r="H26">
        <v>240</v>
      </c>
      <c r="I26">
        <v>420</v>
      </c>
      <c r="J26">
        <v>0</v>
      </c>
      <c r="K26">
        <v>600</v>
      </c>
      <c r="L26">
        <v>660</v>
      </c>
      <c r="M26">
        <v>1260</v>
      </c>
      <c r="N26">
        <v>720</v>
      </c>
      <c r="O26">
        <f t="shared" si="0"/>
        <v>3900</v>
      </c>
    </row>
    <row r="27" spans="1:15" x14ac:dyDescent="0.25">
      <c r="A27" s="2" t="s">
        <v>94</v>
      </c>
      <c r="B27" t="s">
        <v>14</v>
      </c>
      <c r="C27" t="s">
        <v>15</v>
      </c>
      <c r="D27">
        <v>160.97657494077799</v>
      </c>
      <c r="E27">
        <v>194.897187182262</v>
      </c>
      <c r="F27">
        <v>51.351086734902431</v>
      </c>
      <c r="G27" t="s">
        <v>5</v>
      </c>
      <c r="H27">
        <f>_xlfn.XLOOKUP($B27,'raw data results'!$A:$A,'raw data results'!F:F)</f>
        <v>316.80331104077601</v>
      </c>
      <c r="I27">
        <f>_xlfn.XLOOKUP($B27,'raw data results'!$A:$A,'raw data results'!G:G)</f>
        <v>508.79055015352498</v>
      </c>
      <c r="J27">
        <f>_xlfn.XLOOKUP($B27,'raw data results'!$A:$A,'raw data results'!H:H)</f>
        <v>219.51133679102099</v>
      </c>
      <c r="K27">
        <f>_xlfn.XLOOKUP($B27,'raw data results'!$A:$A,'raw data results'!I:I)</f>
        <v>371.38288150705699</v>
      </c>
      <c r="L27">
        <f>_xlfn.XLOOKUP($B27,'raw data results'!$A:$A,'raw data results'!J:J)</f>
        <v>581.12291560936796</v>
      </c>
      <c r="M27">
        <f>_xlfn.XLOOKUP($B27,'raw data results'!$A:$A,'raw data results'!K:K)</f>
        <v>587.92573682277202</v>
      </c>
      <c r="N27">
        <f>_xlfn.XLOOKUP($B27,'raw data results'!$A:$A,'raw data results'!L:L)</f>
        <v>570.97831953703599</v>
      </c>
      <c r="O27">
        <f t="shared" si="0"/>
        <v>3156.5150514615548</v>
      </c>
    </row>
    <row r="28" spans="1:15" x14ac:dyDescent="0.25">
      <c r="A28" s="2" t="s">
        <v>94</v>
      </c>
      <c r="B28" t="s">
        <v>14</v>
      </c>
      <c r="G28" t="s">
        <v>59</v>
      </c>
      <c r="H28">
        <v>120</v>
      </c>
      <c r="I28">
        <v>540</v>
      </c>
      <c r="J28">
        <v>300</v>
      </c>
      <c r="K28">
        <v>600</v>
      </c>
      <c r="L28">
        <v>960</v>
      </c>
      <c r="M28">
        <v>480</v>
      </c>
      <c r="N28">
        <v>900</v>
      </c>
      <c r="O28">
        <f t="shared" si="0"/>
        <v>3900</v>
      </c>
    </row>
    <row r="29" spans="1:15" x14ac:dyDescent="0.25">
      <c r="A29" s="2" t="s">
        <v>94</v>
      </c>
      <c r="B29" t="s">
        <v>16</v>
      </c>
      <c r="C29" t="s">
        <v>17</v>
      </c>
      <c r="D29">
        <v>939.33386694631668</v>
      </c>
      <c r="E29">
        <v>1067.3594698468521</v>
      </c>
      <c r="F29">
        <v>115.81230879155331</v>
      </c>
      <c r="G29" t="s">
        <v>5</v>
      </c>
      <c r="H29">
        <f>_xlfn.XLOOKUP($B29,'raw data results'!$A:$A,'raw data results'!F:F)</f>
        <v>3070.4431056429198</v>
      </c>
      <c r="I29">
        <f>_xlfn.XLOOKUP($B29,'raw data results'!$A:$A,'raw data results'!G:G)</f>
        <v>1479.97336190849</v>
      </c>
      <c r="J29">
        <f>_xlfn.XLOOKUP($B29,'raw data results'!$A:$A,'raw data results'!H:H)</f>
        <v>630.78046630955203</v>
      </c>
      <c r="K29">
        <f>_xlfn.XLOOKUP($B29,'raw data results'!$A:$A,'raw data results'!I:I)</f>
        <v>999.005347907025</v>
      </c>
      <c r="L29">
        <f>_xlfn.XLOOKUP($B29,'raw data results'!$A:$A,'raw data results'!J:J)</f>
        <v>3002.16759892959</v>
      </c>
      <c r="M29">
        <f>_xlfn.XLOOKUP($B29,'raw data results'!$A:$A,'raw data results'!K:K)</f>
        <v>2035.0564440385101</v>
      </c>
      <c r="N29">
        <f>_xlfn.XLOOKUP($B29,'raw data results'!$A:$A,'raw data results'!L:L)</f>
        <v>1585.6524284178799</v>
      </c>
      <c r="O29">
        <f t="shared" si="0"/>
        <v>12803.078753153966</v>
      </c>
    </row>
    <row r="30" spans="1:15" x14ac:dyDescent="0.25">
      <c r="A30" s="2" t="s">
        <v>94</v>
      </c>
      <c r="B30" t="s">
        <v>16</v>
      </c>
      <c r="G30" t="s">
        <v>59</v>
      </c>
      <c r="H30">
        <v>1800</v>
      </c>
      <c r="I30">
        <v>1200</v>
      </c>
      <c r="J30">
        <v>2040</v>
      </c>
      <c r="K30">
        <v>2040</v>
      </c>
      <c r="L30">
        <v>6840</v>
      </c>
      <c r="M30">
        <v>360</v>
      </c>
      <c r="N30">
        <v>1560</v>
      </c>
      <c r="O30">
        <f t="shared" si="0"/>
        <v>15840</v>
      </c>
    </row>
    <row r="31" spans="1:15" x14ac:dyDescent="0.25">
      <c r="A31" s="2" t="s">
        <v>94</v>
      </c>
      <c r="B31" t="s">
        <v>18</v>
      </c>
      <c r="C31" t="s">
        <v>19</v>
      </c>
      <c r="D31">
        <v>309.20839052124751</v>
      </c>
      <c r="E31">
        <v>357.36821809047171</v>
      </c>
      <c r="F31">
        <v>61.033661873628851</v>
      </c>
      <c r="G31" t="s">
        <v>5</v>
      </c>
      <c r="H31">
        <f>_xlfn.XLOOKUP($B31,'raw data results'!$A:$A,'raw data results'!F:F)</f>
        <v>380.308519724002</v>
      </c>
      <c r="I31">
        <f>_xlfn.XLOOKUP($B31,'raw data results'!$A:$A,'raw data results'!G:G)</f>
        <v>386.88081683658601</v>
      </c>
      <c r="J31">
        <f>_xlfn.XLOOKUP($B31,'raw data results'!$A:$A,'raw data results'!H:H)</f>
        <v>947.95082586298304</v>
      </c>
      <c r="K31">
        <f>_xlfn.XLOOKUP($B31,'raw data results'!$A:$A,'raw data results'!I:I)</f>
        <v>1559.47398933677</v>
      </c>
      <c r="L31">
        <f>_xlfn.XLOOKUP($B31,'raw data results'!$A:$A,'raw data results'!J:J)</f>
        <v>464.16648329166702</v>
      </c>
      <c r="M31">
        <f>_xlfn.XLOOKUP($B31,'raw data results'!$A:$A,'raw data results'!K:K)</f>
        <v>1268.2855123793199</v>
      </c>
      <c r="N31">
        <f>_xlfn.XLOOKUP($B31,'raw data results'!$A:$A,'raw data results'!L:L)</f>
        <v>552.88634630525598</v>
      </c>
      <c r="O31">
        <f t="shared" si="0"/>
        <v>5559.9524937365841</v>
      </c>
    </row>
    <row r="32" spans="1:15" x14ac:dyDescent="0.25">
      <c r="A32" s="2" t="s">
        <v>94</v>
      </c>
      <c r="B32" t="s">
        <v>18</v>
      </c>
      <c r="G32" t="s">
        <v>59</v>
      </c>
      <c r="H32">
        <v>600</v>
      </c>
      <c r="I32">
        <v>600</v>
      </c>
      <c r="J32">
        <v>840</v>
      </c>
      <c r="K32">
        <v>2040</v>
      </c>
      <c r="L32">
        <v>840</v>
      </c>
      <c r="M32">
        <v>1200</v>
      </c>
      <c r="N32">
        <v>840</v>
      </c>
      <c r="O32">
        <f t="shared" si="0"/>
        <v>6960</v>
      </c>
    </row>
    <row r="33" spans="1:15" x14ac:dyDescent="0.25">
      <c r="A33" s="2" t="s">
        <v>94</v>
      </c>
      <c r="B33" t="s">
        <v>20</v>
      </c>
      <c r="C33" t="s">
        <v>15</v>
      </c>
      <c r="D33">
        <v>661.29510376690723</v>
      </c>
      <c r="E33">
        <v>757.71701397042295</v>
      </c>
      <c r="F33">
        <v>76.278076053253443</v>
      </c>
      <c r="G33" t="s">
        <v>5</v>
      </c>
      <c r="H33">
        <f>_xlfn.XLOOKUP($B33,'raw data results'!$A:$A,'raw data results'!F:F)</f>
        <v>4351.6140562682403</v>
      </c>
      <c r="I33">
        <f>_xlfn.XLOOKUP($B33,'raw data results'!$A:$A,'raw data results'!G:G)</f>
        <v>4316.3518520396101</v>
      </c>
      <c r="J33">
        <f>_xlfn.XLOOKUP($B33,'raw data results'!$A:$A,'raw data results'!H:H)</f>
        <v>0</v>
      </c>
      <c r="K33">
        <f>_xlfn.XLOOKUP($B33,'raw data results'!$A:$A,'raw data results'!I:I)</f>
        <v>4570.6985667250501</v>
      </c>
      <c r="L33">
        <f>_xlfn.XLOOKUP($B33,'raw data results'!$A:$A,'raw data results'!J:J)</f>
        <v>4057.5515017456</v>
      </c>
      <c r="M33">
        <f>_xlfn.XLOOKUP($B33,'raw data results'!$A:$A,'raw data results'!K:K)</f>
        <v>3932.3826945113401</v>
      </c>
      <c r="N33">
        <f>_xlfn.XLOOKUP($B33,'raw data results'!$A:$A,'raw data results'!L:L)</f>
        <v>4360.4774457350904</v>
      </c>
      <c r="O33">
        <f t="shared" si="0"/>
        <v>25589.076117024932</v>
      </c>
    </row>
    <row r="34" spans="1:15" x14ac:dyDescent="0.25">
      <c r="A34" s="2" t="s">
        <v>94</v>
      </c>
      <c r="B34" t="s">
        <v>20</v>
      </c>
      <c r="G34" t="s">
        <v>59</v>
      </c>
      <c r="H34">
        <v>4200</v>
      </c>
      <c r="I34">
        <v>6000</v>
      </c>
      <c r="J34">
        <v>0</v>
      </c>
      <c r="K34">
        <v>4800</v>
      </c>
      <c r="L34">
        <v>2250</v>
      </c>
      <c r="M34">
        <v>3450</v>
      </c>
      <c r="N34">
        <v>3900</v>
      </c>
      <c r="O34">
        <f t="shared" si="0"/>
        <v>24600</v>
      </c>
    </row>
    <row r="35" spans="1:15" x14ac:dyDescent="0.25">
      <c r="A35" s="2" t="s">
        <v>94</v>
      </c>
      <c r="B35" t="s">
        <v>21</v>
      </c>
      <c r="C35" t="s">
        <v>22</v>
      </c>
      <c r="D35">
        <v>2382.0891339504192</v>
      </c>
      <c r="E35">
        <v>2836.6794935983348</v>
      </c>
      <c r="F35">
        <v>30.805129351237031</v>
      </c>
      <c r="G35" t="s">
        <v>5</v>
      </c>
      <c r="H35">
        <f>_xlfn.XLOOKUP($B35,'raw data results'!$A:$A,'raw data results'!F:F)</f>
        <v>16727.3420254142</v>
      </c>
      <c r="I35">
        <f>_xlfn.XLOOKUP($B35,'raw data results'!$A:$A,'raw data results'!G:G)</f>
        <v>13113.505666532101</v>
      </c>
      <c r="J35">
        <f>_xlfn.XLOOKUP($B35,'raw data results'!$A:$A,'raw data results'!H:H)</f>
        <v>12771.113541106701</v>
      </c>
      <c r="K35">
        <f>_xlfn.XLOOKUP($B35,'raw data results'!$A:$A,'raw data results'!I:I)</f>
        <v>13427.067535160601</v>
      </c>
      <c r="L35">
        <f>_xlfn.XLOOKUP($B35,'raw data results'!$A:$A,'raw data results'!J:J)</f>
        <v>21865.395893661698</v>
      </c>
      <c r="M35">
        <f>_xlfn.XLOOKUP($B35,'raw data results'!$A:$A,'raw data results'!K:K)</f>
        <v>12930.766479014999</v>
      </c>
      <c r="N35">
        <f>_xlfn.XLOOKUP($B35,'raw data results'!$A:$A,'raw data results'!L:L)</f>
        <v>14144.118949411401</v>
      </c>
      <c r="O35">
        <f t="shared" si="0"/>
        <v>104979.3100903017</v>
      </c>
    </row>
    <row r="36" spans="1:15" x14ac:dyDescent="0.25">
      <c r="A36" s="2" t="s">
        <v>94</v>
      </c>
      <c r="B36" t="s">
        <v>21</v>
      </c>
      <c r="G36" t="s">
        <v>59</v>
      </c>
      <c r="H36">
        <v>13800</v>
      </c>
      <c r="I36">
        <v>9000</v>
      </c>
      <c r="J36">
        <v>15600</v>
      </c>
      <c r="K36">
        <v>12671</v>
      </c>
      <c r="L36">
        <v>15600</v>
      </c>
      <c r="M36">
        <v>4200</v>
      </c>
      <c r="N36">
        <v>12000</v>
      </c>
      <c r="O36">
        <f t="shared" si="0"/>
        <v>82871</v>
      </c>
    </row>
    <row r="37" spans="1:15" x14ac:dyDescent="0.25">
      <c r="A37" s="2" t="s">
        <v>94</v>
      </c>
      <c r="B37" t="s">
        <v>23</v>
      </c>
      <c r="C37" t="s">
        <v>24</v>
      </c>
      <c r="D37">
        <v>612.43592702386366</v>
      </c>
      <c r="E37">
        <v>718.28157810713992</v>
      </c>
      <c r="F37">
        <v>66.867217029209598</v>
      </c>
      <c r="G37" t="s">
        <v>5</v>
      </c>
      <c r="H37">
        <f>_xlfn.XLOOKUP($B37,'raw data results'!$A:$A,'raw data results'!F:F)</f>
        <v>2130.4072473481101</v>
      </c>
      <c r="I37">
        <f>_xlfn.XLOOKUP($B37,'raw data results'!$A:$A,'raw data results'!G:G)</f>
        <v>1712.657809197</v>
      </c>
      <c r="J37">
        <f>_xlfn.XLOOKUP($B37,'raw data results'!$A:$A,'raw data results'!H:H)</f>
        <v>1786.61872463392</v>
      </c>
      <c r="K37">
        <f>_xlfn.XLOOKUP($B37,'raw data results'!$A:$A,'raw data results'!I:I)</f>
        <v>2197.8637645470999</v>
      </c>
      <c r="L37">
        <f>_xlfn.XLOOKUP($B37,'raw data results'!$A:$A,'raw data results'!J:J)</f>
        <v>2385.4525891591402</v>
      </c>
      <c r="M37">
        <f>_xlfn.XLOOKUP($B37,'raw data results'!$A:$A,'raw data results'!K:K)</f>
        <v>2140.4053598104101</v>
      </c>
      <c r="N37">
        <f>_xlfn.XLOOKUP($B37,'raw data results'!$A:$A,'raw data results'!L:L)</f>
        <v>1825.7434424340499</v>
      </c>
      <c r="O37">
        <f t="shared" si="0"/>
        <v>14179.148937129732</v>
      </c>
    </row>
    <row r="38" spans="1:15" x14ac:dyDescent="0.25">
      <c r="A38" s="2" t="s">
        <v>94</v>
      </c>
      <c r="B38" t="s">
        <v>23</v>
      </c>
      <c r="G38" t="s">
        <v>59</v>
      </c>
      <c r="H38">
        <v>1680</v>
      </c>
      <c r="I38">
        <v>3120</v>
      </c>
      <c r="J38">
        <v>1800</v>
      </c>
      <c r="K38">
        <v>2760</v>
      </c>
      <c r="L38">
        <v>2760</v>
      </c>
      <c r="M38">
        <v>2040</v>
      </c>
      <c r="N38">
        <v>960</v>
      </c>
      <c r="O38">
        <f t="shared" si="0"/>
        <v>15120</v>
      </c>
    </row>
    <row r="39" spans="1:15" x14ac:dyDescent="0.25">
      <c r="A39" s="2" t="s">
        <v>94</v>
      </c>
      <c r="B39" t="s">
        <v>25</v>
      </c>
      <c r="C39" t="s">
        <v>26</v>
      </c>
      <c r="D39">
        <v>1539.8361297229981</v>
      </c>
      <c r="E39">
        <v>1748.0411359700061</v>
      </c>
      <c r="F39">
        <v>85.143736389780827</v>
      </c>
      <c r="G39" t="s">
        <v>5</v>
      </c>
      <c r="H39">
        <f>_xlfn.XLOOKUP($B39,'raw data results'!$A:$A,'raw data results'!F:F)</f>
        <v>3110.0871807562899</v>
      </c>
      <c r="I39">
        <f>_xlfn.XLOOKUP($B39,'raw data results'!$A:$A,'raw data results'!G:G)</f>
        <v>123.60083887450099</v>
      </c>
      <c r="J39">
        <f>_xlfn.XLOOKUP($B39,'raw data results'!$A:$A,'raw data results'!H:H)</f>
        <v>389.32404120937099</v>
      </c>
      <c r="K39">
        <f>_xlfn.XLOOKUP($B39,'raw data results'!$A:$A,'raw data results'!I:I)</f>
        <v>1335.8989020167201</v>
      </c>
      <c r="L39">
        <f>_xlfn.XLOOKUP($B39,'raw data results'!$A:$A,'raw data results'!J:J)</f>
        <v>2383.6359294397898</v>
      </c>
      <c r="M39">
        <f>_xlfn.XLOOKUP($B39,'raw data results'!$A:$A,'raw data results'!K:K)</f>
        <v>863.22867278199703</v>
      </c>
      <c r="N39">
        <f>_xlfn.XLOOKUP($B39,'raw data results'!$A:$A,'raw data results'!L:L)</f>
        <v>386.963579909911</v>
      </c>
      <c r="O39">
        <f t="shared" si="0"/>
        <v>8592.7391449885799</v>
      </c>
    </row>
    <row r="40" spans="1:15" x14ac:dyDescent="0.25">
      <c r="A40" s="2" t="s">
        <v>94</v>
      </c>
      <c r="B40" t="s">
        <v>25</v>
      </c>
      <c r="G40" t="s">
        <v>59</v>
      </c>
      <c r="H40">
        <v>8400</v>
      </c>
      <c r="I40">
        <v>240</v>
      </c>
      <c r="J40">
        <v>4200</v>
      </c>
      <c r="K40">
        <v>6240</v>
      </c>
      <c r="L40">
        <v>3240</v>
      </c>
      <c r="M40">
        <v>1200</v>
      </c>
      <c r="N40">
        <v>4200</v>
      </c>
      <c r="O40">
        <f t="shared" si="0"/>
        <v>27720</v>
      </c>
    </row>
    <row r="41" spans="1:15" x14ac:dyDescent="0.25">
      <c r="A41" s="2" t="s">
        <v>94</v>
      </c>
      <c r="B41" t="s">
        <v>28</v>
      </c>
      <c r="C41" t="s">
        <v>15</v>
      </c>
      <c r="D41">
        <v>4179.3864350094555</v>
      </c>
      <c r="E41">
        <v>4558.8898054449564</v>
      </c>
      <c r="F41">
        <v>110.2300068228071</v>
      </c>
      <c r="G41" t="s">
        <v>5</v>
      </c>
      <c r="H41">
        <f>_xlfn.XLOOKUP($B41,'raw data results'!$A:$A,'raw data results'!F:F)</f>
        <v>16788.946923762302</v>
      </c>
      <c r="I41">
        <f>_xlfn.XLOOKUP($B41,'raw data results'!$A:$A,'raw data results'!G:G)</f>
        <v>11673.2821112398</v>
      </c>
      <c r="J41">
        <f>_xlfn.XLOOKUP($B41,'raw data results'!$A:$A,'raw data results'!H:H)</f>
        <v>16986.195767990899</v>
      </c>
      <c r="K41">
        <f>_xlfn.XLOOKUP($B41,'raw data results'!$A:$A,'raw data results'!I:I)</f>
        <v>23660.922577368099</v>
      </c>
      <c r="L41">
        <f>_xlfn.XLOOKUP($B41,'raw data results'!$A:$A,'raw data results'!J:J)</f>
        <v>27237.4065195281</v>
      </c>
      <c r="M41">
        <f>_xlfn.XLOOKUP($B41,'raw data results'!$A:$A,'raw data results'!K:K)</f>
        <v>27377.365474430298</v>
      </c>
      <c r="N41">
        <f>_xlfn.XLOOKUP($B41,'raw data results'!$A:$A,'raw data results'!L:L)</f>
        <v>29362.436186621399</v>
      </c>
      <c r="O41">
        <f t="shared" si="0"/>
        <v>153086.55556094091</v>
      </c>
    </row>
    <row r="42" spans="1:15" x14ac:dyDescent="0.25">
      <c r="A42" s="2" t="s">
        <v>94</v>
      </c>
      <c r="B42" t="s">
        <v>28</v>
      </c>
      <c r="G42" t="s">
        <v>59</v>
      </c>
      <c r="H42">
        <v>8400</v>
      </c>
      <c r="I42">
        <v>1800</v>
      </c>
      <c r="J42">
        <v>5400</v>
      </c>
      <c r="K42">
        <v>10800</v>
      </c>
      <c r="L42">
        <v>16800</v>
      </c>
      <c r="M42">
        <v>6360</v>
      </c>
      <c r="N42">
        <v>10800</v>
      </c>
      <c r="O42">
        <f t="shared" si="0"/>
        <v>60360</v>
      </c>
    </row>
    <row r="43" spans="1:15" x14ac:dyDescent="0.25">
      <c r="A43" s="2" t="s">
        <v>94</v>
      </c>
      <c r="B43" t="s">
        <v>29</v>
      </c>
      <c r="C43" t="s">
        <v>7</v>
      </c>
      <c r="D43">
        <v>813.81425760892671</v>
      </c>
      <c r="E43">
        <v>1042.018799645555</v>
      </c>
      <c r="F43">
        <v>47.058159602282373</v>
      </c>
      <c r="G43" t="s">
        <v>5</v>
      </c>
      <c r="H43">
        <f>_xlfn.XLOOKUP($B43,'raw data results'!$A:$A,'raw data results'!F:F)</f>
        <v>3209.1989594593001</v>
      </c>
      <c r="I43">
        <f>_xlfn.XLOOKUP($B43,'raw data results'!$A:$A,'raw data results'!G:G)</f>
        <v>4301.5601992032398</v>
      </c>
      <c r="J43">
        <f>_xlfn.XLOOKUP($B43,'raw data results'!$A:$A,'raw data results'!H:H)</f>
        <v>2307.3166967923698</v>
      </c>
      <c r="K43">
        <f>_xlfn.XLOOKUP($B43,'raw data results'!$A:$A,'raw data results'!I:I)</f>
        <v>4711.0689773809399</v>
      </c>
      <c r="L43">
        <f>_xlfn.XLOOKUP($B43,'raw data results'!$A:$A,'raw data results'!J:J)</f>
        <v>7662.2027320242996</v>
      </c>
      <c r="M43">
        <f>_xlfn.XLOOKUP($B43,'raw data results'!$A:$A,'raw data results'!K:K)</f>
        <v>2559.5007251820998</v>
      </c>
      <c r="N43">
        <f>_xlfn.XLOOKUP($B43,'raw data results'!$A:$A,'raw data results'!L:L)</f>
        <v>4149.3141422454</v>
      </c>
      <c r="O43">
        <f t="shared" si="0"/>
        <v>28900.162432287649</v>
      </c>
    </row>
    <row r="44" spans="1:15" x14ac:dyDescent="0.25">
      <c r="A44" s="2" t="s">
        <v>94</v>
      </c>
      <c r="B44" t="s">
        <v>29</v>
      </c>
      <c r="G44" t="s">
        <v>59</v>
      </c>
      <c r="H44">
        <v>1800</v>
      </c>
      <c r="I44">
        <v>3840</v>
      </c>
      <c r="J44">
        <v>960</v>
      </c>
      <c r="K44">
        <v>4680</v>
      </c>
      <c r="L44">
        <v>13200</v>
      </c>
      <c r="M44">
        <v>1800</v>
      </c>
      <c r="N44">
        <v>4320</v>
      </c>
      <c r="O44">
        <f t="shared" si="0"/>
        <v>30600</v>
      </c>
    </row>
    <row r="45" spans="1:15" x14ac:dyDescent="0.25">
      <c r="A45" s="2" t="s">
        <v>94</v>
      </c>
      <c r="B45" t="s">
        <v>30</v>
      </c>
      <c r="C45" t="s">
        <v>31</v>
      </c>
      <c r="D45">
        <v>1415.177839323253</v>
      </c>
      <c r="E45">
        <v>1806.61819567406</v>
      </c>
      <c r="F45">
        <v>117.61892519584801</v>
      </c>
      <c r="G45" t="s">
        <v>5</v>
      </c>
      <c r="H45">
        <f>_xlfn.XLOOKUP($B45,'raw data results'!$A:$A,'raw data results'!F:F)</f>
        <v>3739.0456511104899</v>
      </c>
      <c r="I45">
        <f>_xlfn.XLOOKUP($B45,'raw data results'!$A:$A,'raw data results'!G:G)</f>
        <v>1988.9131940145101</v>
      </c>
      <c r="J45">
        <f>_xlfn.XLOOKUP($B45,'raw data results'!$A:$A,'raw data results'!H:H)</f>
        <v>886.61416951315005</v>
      </c>
      <c r="K45">
        <f>_xlfn.XLOOKUP($B45,'raw data results'!$A:$A,'raw data results'!I:I)</f>
        <v>4433.3913214026297</v>
      </c>
      <c r="L45">
        <f>_xlfn.XLOOKUP($B45,'raw data results'!$A:$A,'raw data results'!J:J)</f>
        <v>5448.0240081053598</v>
      </c>
      <c r="M45">
        <f>_xlfn.XLOOKUP($B45,'raw data results'!$A:$A,'raw data results'!K:K)</f>
        <v>3875.8068058239</v>
      </c>
      <c r="N45">
        <f>_xlfn.XLOOKUP($B45,'raw data results'!$A:$A,'raw data results'!L:L)</f>
        <v>2531.11031522962</v>
      </c>
      <c r="O45">
        <f t="shared" si="0"/>
        <v>22902.905465199659</v>
      </c>
    </row>
    <row r="46" spans="1:15" x14ac:dyDescent="0.25">
      <c r="A46" s="2" t="s">
        <v>94</v>
      </c>
      <c r="B46" t="s">
        <v>30</v>
      </c>
      <c r="G46" t="s">
        <v>59</v>
      </c>
      <c r="H46">
        <v>3000</v>
      </c>
      <c r="I46">
        <v>840</v>
      </c>
      <c r="J46">
        <v>840</v>
      </c>
      <c r="K46">
        <v>5040</v>
      </c>
      <c r="L46">
        <v>6240</v>
      </c>
      <c r="M46">
        <v>6960</v>
      </c>
      <c r="N46">
        <v>2160</v>
      </c>
      <c r="O46">
        <f t="shared" si="0"/>
        <v>25080</v>
      </c>
    </row>
    <row r="47" spans="1:15" x14ac:dyDescent="0.25">
      <c r="A47" s="2" t="s">
        <v>94</v>
      </c>
      <c r="B47" t="s">
        <v>32</v>
      </c>
      <c r="C47" t="s">
        <v>13</v>
      </c>
      <c r="D47">
        <v>845.27351296227573</v>
      </c>
      <c r="E47">
        <v>1138.349998467146</v>
      </c>
      <c r="F47">
        <v>30.618483883451749</v>
      </c>
      <c r="G47" t="s">
        <v>5</v>
      </c>
      <c r="H47">
        <f>_xlfn.XLOOKUP($B47,'raw data results'!$A:$A,'raw data results'!F:F)</f>
        <v>4599.7134224892898</v>
      </c>
      <c r="I47">
        <f>_xlfn.XLOOKUP($B47,'raw data results'!$A:$A,'raw data results'!G:G)</f>
        <v>5213.8235617282498</v>
      </c>
      <c r="J47">
        <f>_xlfn.XLOOKUP($B47,'raw data results'!$A:$A,'raw data results'!H:H)</f>
        <v>3438.5872082901501</v>
      </c>
      <c r="K47">
        <f>_xlfn.XLOOKUP($B47,'raw data results'!$A:$A,'raw data results'!I:I)</f>
        <v>6328.8484376619699</v>
      </c>
      <c r="L47">
        <f>_xlfn.XLOOKUP($B47,'raw data results'!$A:$A,'raw data results'!J:J)</f>
        <v>5955.0096999403904</v>
      </c>
      <c r="M47">
        <f>_xlfn.XLOOKUP($B47,'raw data results'!$A:$A,'raw data results'!K:K)</f>
        <v>2672.0014960088702</v>
      </c>
      <c r="N47">
        <f>_xlfn.XLOOKUP($B47,'raw data results'!$A:$A,'raw data results'!L:L)</f>
        <v>6036.8344157721003</v>
      </c>
      <c r="O47">
        <f t="shared" ref="O47:O54" si="1">SUM(H47:N47)</f>
        <v>34244.818241891015</v>
      </c>
    </row>
    <row r="48" spans="1:15" x14ac:dyDescent="0.25">
      <c r="A48" s="2" t="s">
        <v>94</v>
      </c>
      <c r="B48" t="s">
        <v>32</v>
      </c>
      <c r="G48" t="s">
        <v>59</v>
      </c>
      <c r="H48">
        <v>5160</v>
      </c>
      <c r="I48">
        <v>3720</v>
      </c>
      <c r="J48">
        <v>3000</v>
      </c>
      <c r="K48">
        <v>4800</v>
      </c>
      <c r="L48">
        <v>6720</v>
      </c>
      <c r="M48">
        <v>2400</v>
      </c>
      <c r="N48">
        <v>7800</v>
      </c>
      <c r="O48">
        <f t="shared" si="1"/>
        <v>33600</v>
      </c>
    </row>
    <row r="49" spans="1:15" x14ac:dyDescent="0.25">
      <c r="A49" s="2" t="s">
        <v>94</v>
      </c>
      <c r="B49" t="s">
        <v>33</v>
      </c>
      <c r="C49" t="s">
        <v>34</v>
      </c>
      <c r="D49">
        <v>1162.319049978976</v>
      </c>
      <c r="E49">
        <v>1413.76919906798</v>
      </c>
      <c r="F49">
        <v>47.450621527806177</v>
      </c>
      <c r="G49" t="s">
        <v>5</v>
      </c>
      <c r="H49">
        <f>_xlfn.XLOOKUP($B49,'raw data results'!$A:$A,'raw data results'!F:F)</f>
        <v>2631.9087135534601</v>
      </c>
      <c r="I49">
        <f>_xlfn.XLOOKUP($B49,'raw data results'!$A:$A,'raw data results'!G:G)</f>
        <v>3563.9982437488102</v>
      </c>
      <c r="J49">
        <f>_xlfn.XLOOKUP($B49,'raw data results'!$A:$A,'raw data results'!H:H)</f>
        <v>1441.83849299489</v>
      </c>
      <c r="K49">
        <f>_xlfn.XLOOKUP($B49,'raw data results'!$A:$A,'raw data results'!I:I)</f>
        <v>4061.58255038985</v>
      </c>
      <c r="L49">
        <f>_xlfn.XLOOKUP($B49,'raw data results'!$A:$A,'raw data results'!J:J)</f>
        <v>3342.2907138660398</v>
      </c>
      <c r="M49">
        <f>_xlfn.XLOOKUP($B49,'raw data results'!$A:$A,'raw data results'!K:K)</f>
        <v>1907.60430801556</v>
      </c>
      <c r="N49">
        <f>_xlfn.XLOOKUP($B49,'raw data results'!$A:$A,'raw data results'!L:L)</f>
        <v>5837.9491849817396</v>
      </c>
      <c r="O49">
        <f t="shared" si="1"/>
        <v>22787.172207550349</v>
      </c>
    </row>
    <row r="50" spans="1:15" x14ac:dyDescent="0.25">
      <c r="A50" s="2" t="s">
        <v>94</v>
      </c>
      <c r="B50" t="s">
        <v>33</v>
      </c>
      <c r="G50" t="s">
        <v>59</v>
      </c>
      <c r="H50">
        <v>1800</v>
      </c>
      <c r="I50">
        <v>7200</v>
      </c>
      <c r="J50">
        <v>2640</v>
      </c>
      <c r="K50">
        <v>6120</v>
      </c>
      <c r="L50">
        <v>5400</v>
      </c>
      <c r="M50">
        <v>1200</v>
      </c>
      <c r="N50">
        <v>4200</v>
      </c>
      <c r="O50">
        <f t="shared" si="1"/>
        <v>28560</v>
      </c>
    </row>
    <row r="51" spans="1:15" x14ac:dyDescent="0.25">
      <c r="A51" s="2" t="s">
        <v>94</v>
      </c>
      <c r="B51" t="s">
        <v>35</v>
      </c>
      <c r="C51" t="s">
        <v>36</v>
      </c>
      <c r="D51">
        <v>557.60455570700697</v>
      </c>
      <c r="E51">
        <v>646.23996810600215</v>
      </c>
      <c r="F51">
        <v>22.891942167841481</v>
      </c>
      <c r="G51" t="s">
        <v>5</v>
      </c>
      <c r="H51">
        <f>_xlfn.XLOOKUP($B51,'raw data results'!$A:$A,'raw data results'!F:F)</f>
        <v>2773.24435791414</v>
      </c>
      <c r="I51">
        <f>_xlfn.XLOOKUP($B51,'raw data results'!$A:$A,'raw data results'!G:G)</f>
        <v>1823.0179671124599</v>
      </c>
      <c r="J51">
        <f>_xlfn.XLOOKUP($B51,'raw data results'!$A:$A,'raw data results'!H:H)</f>
        <v>851.52991065557296</v>
      </c>
      <c r="K51">
        <f>_xlfn.XLOOKUP($B51,'raw data results'!$A:$A,'raw data results'!I:I)</f>
        <v>1926.0854804303599</v>
      </c>
      <c r="L51">
        <f>_xlfn.XLOOKUP($B51,'raw data results'!$A:$A,'raw data results'!J:J)</f>
        <v>2588.1587316405598</v>
      </c>
      <c r="M51">
        <f>_xlfn.XLOOKUP($B51,'raw data results'!$A:$A,'raw data results'!K:K)</f>
        <v>1491.5651878651299</v>
      </c>
      <c r="N51">
        <f>_xlfn.XLOOKUP($B51,'raw data results'!$A:$A,'raw data results'!L:L)</f>
        <v>2267.2818500317399</v>
      </c>
      <c r="O51">
        <f t="shared" si="1"/>
        <v>13720.883485649963</v>
      </c>
    </row>
    <row r="52" spans="1:15" x14ac:dyDescent="0.25">
      <c r="A52" s="2" t="s">
        <v>94</v>
      </c>
      <c r="B52" t="s">
        <v>35</v>
      </c>
      <c r="G52" t="s">
        <v>59</v>
      </c>
      <c r="H52">
        <v>2520</v>
      </c>
      <c r="I52">
        <v>1200</v>
      </c>
      <c r="J52">
        <v>0</v>
      </c>
      <c r="K52">
        <v>2400</v>
      </c>
      <c r="L52">
        <v>4440</v>
      </c>
      <c r="M52">
        <v>1920</v>
      </c>
      <c r="N52">
        <v>1800</v>
      </c>
      <c r="O52">
        <f t="shared" si="1"/>
        <v>14280</v>
      </c>
    </row>
    <row r="53" spans="1:15" x14ac:dyDescent="0.25">
      <c r="A53" s="2" t="s">
        <v>94</v>
      </c>
      <c r="B53" t="s">
        <v>37</v>
      </c>
      <c r="C53" t="s">
        <v>17</v>
      </c>
      <c r="D53">
        <v>500.40376269578962</v>
      </c>
      <c r="E53">
        <v>585.18786845281022</v>
      </c>
      <c r="F53">
        <v>35.183391734850318</v>
      </c>
      <c r="G53" t="s">
        <v>5</v>
      </c>
      <c r="H53">
        <f>_xlfn.XLOOKUP($B53,'raw data results'!$A:$A,'raw data results'!F:F)</f>
        <v>1788.6081567574299</v>
      </c>
      <c r="I53">
        <f>_xlfn.XLOOKUP($B53,'raw data results'!$A:$A,'raw data results'!G:G)</f>
        <v>2164.1339785426599</v>
      </c>
      <c r="J53">
        <f>_xlfn.XLOOKUP($B53,'raw data results'!$A:$A,'raw data results'!H:H)</f>
        <v>1850.0780813180399</v>
      </c>
      <c r="K53">
        <f>_xlfn.XLOOKUP($B53,'raw data results'!$A:$A,'raw data results'!I:I)</f>
        <v>2112.7260827595201</v>
      </c>
      <c r="L53">
        <f>_xlfn.XLOOKUP($B53,'raw data results'!$A:$A,'raw data results'!J:J)</f>
        <v>1893.0710045685701</v>
      </c>
      <c r="M53">
        <f>_xlfn.XLOOKUP($B53,'raw data results'!$A:$A,'raw data results'!K:K)</f>
        <v>2076.7706828843202</v>
      </c>
      <c r="N53">
        <f>_xlfn.XLOOKUP($B53,'raw data results'!$A:$A,'raw data results'!L:L)</f>
        <v>1923.1408551961399</v>
      </c>
      <c r="O53">
        <f t="shared" si="1"/>
        <v>13808.528842026679</v>
      </c>
    </row>
    <row r="54" spans="1:15" x14ac:dyDescent="0.25">
      <c r="A54" s="2" t="s">
        <v>94</v>
      </c>
      <c r="B54" t="s">
        <v>37</v>
      </c>
      <c r="G54" t="s">
        <v>59</v>
      </c>
      <c r="H54">
        <v>3360</v>
      </c>
      <c r="I54">
        <v>1800</v>
      </c>
      <c r="J54">
        <v>1800</v>
      </c>
      <c r="K54">
        <v>2160</v>
      </c>
      <c r="L54">
        <v>3480</v>
      </c>
      <c r="M54">
        <v>1920</v>
      </c>
      <c r="N54">
        <v>1560</v>
      </c>
      <c r="O54">
        <f t="shared" si="1"/>
        <v>16080</v>
      </c>
    </row>
    <row r="55" spans="1:15" x14ac:dyDescent="0.25">
      <c r="A55" s="2" t="s">
        <v>95</v>
      </c>
      <c r="B55" t="s">
        <v>6</v>
      </c>
      <c r="C55" t="s">
        <v>7</v>
      </c>
      <c r="D55">
        <v>3925.7900359975602</v>
      </c>
      <c r="E55">
        <v>4127.5523510104476</v>
      </c>
      <c r="F55">
        <v>25.56942245630032</v>
      </c>
      <c r="G55" t="s">
        <v>5</v>
      </c>
      <c r="H55">
        <v>14261.5643740379</v>
      </c>
      <c r="I55">
        <v>22971.843832294398</v>
      </c>
      <c r="J55">
        <v>11595.644240793599</v>
      </c>
      <c r="K55">
        <v>30148.511446268702</v>
      </c>
      <c r="L55">
        <v>25797.683815829601</v>
      </c>
      <c r="M55">
        <v>24092.3964217129</v>
      </c>
      <c r="N55">
        <v>21620.311486718201</v>
      </c>
      <c r="O55">
        <v>150487.9556176553</v>
      </c>
    </row>
    <row r="56" spans="1:15" x14ac:dyDescent="0.25">
      <c r="A56" s="2" t="s">
        <v>95</v>
      </c>
      <c r="B56" t="s">
        <v>6</v>
      </c>
      <c r="G56" t="s">
        <v>59</v>
      </c>
      <c r="H56">
        <v>10800</v>
      </c>
      <c r="I56">
        <v>18000</v>
      </c>
      <c r="J56">
        <v>12000</v>
      </c>
      <c r="K56">
        <v>28320</v>
      </c>
      <c r="L56">
        <v>25800</v>
      </c>
      <c r="M56">
        <v>25800</v>
      </c>
      <c r="N56">
        <v>19800</v>
      </c>
      <c r="O56">
        <v>140520</v>
      </c>
    </row>
    <row r="57" spans="1:15" x14ac:dyDescent="0.25">
      <c r="A57" s="2" t="s">
        <v>95</v>
      </c>
      <c r="B57" t="s">
        <v>27</v>
      </c>
      <c r="C57" t="s">
        <v>11</v>
      </c>
      <c r="D57">
        <v>989.15969777489931</v>
      </c>
      <c r="E57">
        <v>1182.289171929961</v>
      </c>
      <c r="F57">
        <v>34.357923627152111</v>
      </c>
      <c r="G57" t="s">
        <v>5</v>
      </c>
      <c r="H57">
        <v>4577.6308013313901</v>
      </c>
      <c r="I57">
        <v>5177.91232395918</v>
      </c>
      <c r="J57">
        <v>3665.6390551467498</v>
      </c>
      <c r="K57">
        <v>5465.6232787671297</v>
      </c>
      <c r="L57">
        <v>4393.5975197533699</v>
      </c>
      <c r="M57">
        <v>4452.1630101445699</v>
      </c>
      <c r="N57">
        <v>4536.5413538732601</v>
      </c>
      <c r="O57">
        <v>32269.107342975651</v>
      </c>
    </row>
    <row r="58" spans="1:15" x14ac:dyDescent="0.25">
      <c r="A58" s="2" t="s">
        <v>95</v>
      </c>
      <c r="B58" t="s">
        <v>27</v>
      </c>
      <c r="G58" t="s">
        <v>59</v>
      </c>
      <c r="H58">
        <v>6000</v>
      </c>
      <c r="I58">
        <v>7050</v>
      </c>
      <c r="J58">
        <v>6000</v>
      </c>
      <c r="K58">
        <v>5550</v>
      </c>
      <c r="L58">
        <v>4050</v>
      </c>
      <c r="M58">
        <v>2250</v>
      </c>
      <c r="N58">
        <v>3000</v>
      </c>
      <c r="O58">
        <v>33900</v>
      </c>
    </row>
    <row r="59" spans="1:15" x14ac:dyDescent="0.25">
      <c r="A59" s="2" t="s">
        <v>95</v>
      </c>
      <c r="B59" t="s">
        <v>38</v>
      </c>
      <c r="C59" t="s">
        <v>39</v>
      </c>
      <c r="D59">
        <v>4618.5294569916614</v>
      </c>
      <c r="E59">
        <v>5226.9588533476044</v>
      </c>
      <c r="F59">
        <v>64.938720114147969</v>
      </c>
      <c r="G59" t="s">
        <v>5</v>
      </c>
      <c r="H59">
        <v>14708.829113551499</v>
      </c>
      <c r="I59">
        <v>17118.844235823999</v>
      </c>
      <c r="J59">
        <v>11735.6234793731</v>
      </c>
      <c r="K59">
        <v>15789.708801733401</v>
      </c>
      <c r="L59">
        <v>11897.520251108301</v>
      </c>
      <c r="M59">
        <v>10401.705567528499</v>
      </c>
      <c r="N59">
        <v>12714.571122675199</v>
      </c>
      <c r="O59">
        <v>94366.802571794004</v>
      </c>
    </row>
    <row r="60" spans="1:15" x14ac:dyDescent="0.25">
      <c r="A60" s="2" t="s">
        <v>95</v>
      </c>
      <c r="B60" t="s">
        <v>38</v>
      </c>
      <c r="G60" t="s">
        <v>59</v>
      </c>
      <c r="H60">
        <v>12000</v>
      </c>
      <c r="I60">
        <v>18000</v>
      </c>
      <c r="J60">
        <v>9000</v>
      </c>
      <c r="K60">
        <v>21000</v>
      </c>
      <c r="L60">
        <v>15000</v>
      </c>
      <c r="M60">
        <v>6000</v>
      </c>
      <c r="N60">
        <v>9000</v>
      </c>
      <c r="O60">
        <v>90000</v>
      </c>
    </row>
    <row r="61" spans="1:15" x14ac:dyDescent="0.25">
      <c r="A61" s="2" t="s">
        <v>95</v>
      </c>
      <c r="B61" t="s">
        <v>40</v>
      </c>
      <c r="C61" t="s">
        <v>31</v>
      </c>
      <c r="D61">
        <v>1220.241812445295</v>
      </c>
      <c r="E61">
        <v>1466.6586656585989</v>
      </c>
      <c r="F61">
        <v>32.756126858919252</v>
      </c>
      <c r="G61" t="s">
        <v>5</v>
      </c>
      <c r="H61">
        <v>4965.6256222340999</v>
      </c>
      <c r="I61">
        <v>4897.5522752894403</v>
      </c>
      <c r="J61">
        <v>4830.4121401728198</v>
      </c>
      <c r="K61">
        <v>4764.1924235612196</v>
      </c>
      <c r="L61">
        <v>4698.88050751423</v>
      </c>
      <c r="M61">
        <v>4634.4639470697102</v>
      </c>
      <c r="N61">
        <v>4570.9304678725002</v>
      </c>
      <c r="O61">
        <v>33362.057383714018</v>
      </c>
    </row>
    <row r="62" spans="1:15" x14ac:dyDescent="0.25">
      <c r="A62" s="2" t="s">
        <v>95</v>
      </c>
      <c r="B62" t="s">
        <v>40</v>
      </c>
      <c r="G62" t="s">
        <v>59</v>
      </c>
      <c r="H62">
        <v>3750</v>
      </c>
      <c r="I62">
        <v>4800</v>
      </c>
      <c r="J62">
        <v>4800</v>
      </c>
      <c r="K62">
        <v>5250</v>
      </c>
      <c r="L62">
        <v>4500</v>
      </c>
      <c r="M62">
        <v>3000</v>
      </c>
      <c r="N62">
        <v>4500</v>
      </c>
      <c r="O62">
        <v>30600</v>
      </c>
    </row>
    <row r="63" spans="1:15" x14ac:dyDescent="0.25">
      <c r="A63" s="2" t="s">
        <v>95</v>
      </c>
      <c r="B63" t="s">
        <v>41</v>
      </c>
      <c r="C63" t="s">
        <v>42</v>
      </c>
      <c r="D63">
        <v>2353.5581309654849</v>
      </c>
      <c r="E63">
        <v>3157.6619219648269</v>
      </c>
      <c r="F63">
        <v>25.146900039977101</v>
      </c>
      <c r="G63" t="s">
        <v>5</v>
      </c>
      <c r="H63">
        <v>11803.408952603701</v>
      </c>
      <c r="I63">
        <v>17218.709579730599</v>
      </c>
      <c r="J63">
        <v>9561.3007373013297</v>
      </c>
      <c r="K63">
        <v>16267.277304645801</v>
      </c>
      <c r="L63">
        <v>13134.815663313</v>
      </c>
      <c r="M63">
        <v>18300.197990832199</v>
      </c>
      <c r="N63">
        <v>16046.6902863709</v>
      </c>
      <c r="O63">
        <v>102332.40051479753</v>
      </c>
    </row>
    <row r="64" spans="1:15" x14ac:dyDescent="0.25">
      <c r="A64" s="2" t="s">
        <v>95</v>
      </c>
      <c r="B64" t="s">
        <v>41</v>
      </c>
      <c r="G64" t="s">
        <v>59</v>
      </c>
      <c r="H64">
        <v>12000</v>
      </c>
      <c r="I64">
        <v>18000</v>
      </c>
      <c r="J64">
        <v>9000</v>
      </c>
      <c r="K64">
        <v>13200</v>
      </c>
      <c r="L64">
        <v>13200</v>
      </c>
      <c r="M64">
        <v>21000</v>
      </c>
      <c r="N64">
        <v>15000</v>
      </c>
      <c r="O64">
        <v>101400</v>
      </c>
    </row>
    <row r="65" spans="1:15" x14ac:dyDescent="0.25">
      <c r="A65" s="2" t="s">
        <v>95</v>
      </c>
      <c r="B65" t="s">
        <v>43</v>
      </c>
      <c r="C65" t="s">
        <v>44</v>
      </c>
      <c r="D65">
        <v>753.87503631855714</v>
      </c>
      <c r="E65">
        <v>857.07940067147956</v>
      </c>
      <c r="F65">
        <v>37.464813898128398</v>
      </c>
      <c r="G65" t="s">
        <v>5</v>
      </c>
      <c r="H65">
        <v>2363.1232961923301</v>
      </c>
      <c r="I65">
        <v>3568.4071002217502</v>
      </c>
      <c r="J65">
        <v>1986.2646045003401</v>
      </c>
      <c r="K65">
        <v>4061.2876633345099</v>
      </c>
      <c r="L65">
        <v>2453.7028460411502</v>
      </c>
      <c r="M65">
        <v>2710.6837771893902</v>
      </c>
      <c r="N65">
        <v>3179.30809690872</v>
      </c>
      <c r="O65">
        <v>20322.777384388191</v>
      </c>
    </row>
    <row r="66" spans="1:15" x14ac:dyDescent="0.25">
      <c r="A66" s="2" t="s">
        <v>95</v>
      </c>
      <c r="B66" t="s">
        <v>43</v>
      </c>
      <c r="G66" t="s">
        <v>59</v>
      </c>
      <c r="H66">
        <v>3750</v>
      </c>
      <c r="I66">
        <v>3300</v>
      </c>
      <c r="J66">
        <v>1500</v>
      </c>
      <c r="K66">
        <v>3900</v>
      </c>
      <c r="L66">
        <v>3150</v>
      </c>
      <c r="M66">
        <v>2250</v>
      </c>
      <c r="N66">
        <v>3000</v>
      </c>
      <c r="O66">
        <v>20850</v>
      </c>
    </row>
    <row r="67" spans="1:15" x14ac:dyDescent="0.25">
      <c r="A67" s="2" t="s">
        <v>95</v>
      </c>
      <c r="B67" t="s">
        <v>45</v>
      </c>
      <c r="C67" t="s">
        <v>46</v>
      </c>
      <c r="D67">
        <v>1956.1898671868439</v>
      </c>
      <c r="E67">
        <v>2190.928740080059</v>
      </c>
      <c r="F67">
        <v>34.711814135757031</v>
      </c>
      <c r="G67" t="s">
        <v>5</v>
      </c>
      <c r="H67">
        <v>9036.4793737478794</v>
      </c>
      <c r="I67">
        <v>11967.562144420701</v>
      </c>
      <c r="J67">
        <v>7678.92692688233</v>
      </c>
      <c r="K67">
        <v>10570.275102801401</v>
      </c>
      <c r="L67">
        <v>7331.0826251744702</v>
      </c>
      <c r="M67">
        <v>5886.7260863190204</v>
      </c>
      <c r="N67">
        <v>6866.3845991929902</v>
      </c>
      <c r="O67">
        <v>59337.436858538793</v>
      </c>
    </row>
    <row r="68" spans="1:15" x14ac:dyDescent="0.25">
      <c r="A68" s="2" t="s">
        <v>95</v>
      </c>
      <c r="B68" t="s">
        <v>45</v>
      </c>
      <c r="G68" t="s">
        <v>59</v>
      </c>
      <c r="H68">
        <v>15000</v>
      </c>
      <c r="I68">
        <v>15000</v>
      </c>
      <c r="J68">
        <v>3000</v>
      </c>
      <c r="K68">
        <v>12000</v>
      </c>
      <c r="L68">
        <v>12000</v>
      </c>
      <c r="M68">
        <v>3000</v>
      </c>
      <c r="N68">
        <v>10200</v>
      </c>
      <c r="O68">
        <v>70200</v>
      </c>
    </row>
    <row r="69" spans="1:15" x14ac:dyDescent="0.25">
      <c r="A69" s="2" t="s">
        <v>95</v>
      </c>
      <c r="B69" t="s">
        <v>47</v>
      </c>
      <c r="C69" t="s">
        <v>48</v>
      </c>
      <c r="D69">
        <v>962.4431793768556</v>
      </c>
      <c r="E69">
        <v>1179.105688242111</v>
      </c>
      <c r="F69">
        <v>45.400550503093548</v>
      </c>
      <c r="G69" t="s">
        <v>5</v>
      </c>
      <c r="H69">
        <v>607.62145007295896</v>
      </c>
      <c r="I69">
        <v>0</v>
      </c>
      <c r="J69">
        <v>0</v>
      </c>
      <c r="K69">
        <v>914.15518871854795</v>
      </c>
      <c r="L69">
        <v>3339.7011123397001</v>
      </c>
      <c r="M69">
        <v>2608.9964069265802</v>
      </c>
      <c r="N69">
        <v>1115.4246961502499</v>
      </c>
      <c r="O69">
        <v>8585.8988542080369</v>
      </c>
    </row>
    <row r="70" spans="1:15" x14ac:dyDescent="0.25">
      <c r="A70" s="2" t="s">
        <v>95</v>
      </c>
      <c r="B70" t="s">
        <v>47</v>
      </c>
      <c r="G70" t="s">
        <v>59</v>
      </c>
      <c r="H70">
        <v>300</v>
      </c>
      <c r="I70">
        <v>600</v>
      </c>
      <c r="J70">
        <v>0</v>
      </c>
      <c r="K70">
        <v>0</v>
      </c>
      <c r="L70">
        <v>4500</v>
      </c>
      <c r="M70">
        <v>5160</v>
      </c>
      <c r="N70">
        <v>4200</v>
      </c>
      <c r="O70">
        <v>14760</v>
      </c>
    </row>
    <row r="71" spans="1:15" x14ac:dyDescent="0.25">
      <c r="A71" s="2" t="s">
        <v>95</v>
      </c>
      <c r="B71" t="s">
        <v>49</v>
      </c>
      <c r="C71" t="s">
        <v>50</v>
      </c>
      <c r="D71">
        <v>462.65278701651039</v>
      </c>
      <c r="E71">
        <v>523.1664641103107</v>
      </c>
      <c r="F71">
        <v>107.072613748397</v>
      </c>
      <c r="G71" t="s">
        <v>5</v>
      </c>
      <c r="H71">
        <v>620.548334715186</v>
      </c>
      <c r="I71">
        <v>795.01710384657395</v>
      </c>
      <c r="J71">
        <v>475.80637539099899</v>
      </c>
      <c r="K71">
        <v>1473.50511646312</v>
      </c>
      <c r="L71">
        <v>1246.8287736285099</v>
      </c>
      <c r="M71">
        <v>1051.29988844278</v>
      </c>
      <c r="N71">
        <v>307.17502788930398</v>
      </c>
      <c r="O71">
        <v>5970.1806203764727</v>
      </c>
    </row>
    <row r="72" spans="1:15" x14ac:dyDescent="0.25">
      <c r="A72" s="2" t="s">
        <v>95</v>
      </c>
      <c r="B72" t="s">
        <v>49</v>
      </c>
      <c r="G72" t="s">
        <v>59</v>
      </c>
      <c r="H72">
        <v>0</v>
      </c>
      <c r="I72">
        <v>1680</v>
      </c>
      <c r="J72">
        <v>420</v>
      </c>
      <c r="K72">
        <v>1200</v>
      </c>
      <c r="L72">
        <v>1200</v>
      </c>
      <c r="M72">
        <v>2760</v>
      </c>
      <c r="N72">
        <v>120</v>
      </c>
      <c r="O72">
        <v>7380</v>
      </c>
    </row>
    <row r="73" spans="1:15" x14ac:dyDescent="0.25">
      <c r="A73" s="2" t="s">
        <v>95</v>
      </c>
      <c r="B73" t="s">
        <v>8</v>
      </c>
      <c r="C73" t="s">
        <v>9</v>
      </c>
      <c r="D73">
        <v>250.8257294371891</v>
      </c>
      <c r="E73">
        <v>290.17225582680391</v>
      </c>
      <c r="F73">
        <v>36.626048430824078</v>
      </c>
      <c r="G73" t="s">
        <v>5</v>
      </c>
      <c r="H73">
        <v>902.67276471630203</v>
      </c>
      <c r="I73">
        <v>1147.2563334036099</v>
      </c>
      <c r="J73">
        <v>1002.29599269004</v>
      </c>
      <c r="K73">
        <v>1521.9647536817199</v>
      </c>
      <c r="L73">
        <v>1436.36668868112</v>
      </c>
      <c r="M73">
        <v>577.69511580356505</v>
      </c>
      <c r="N73">
        <v>1655.5762210491</v>
      </c>
      <c r="O73">
        <v>8243.8278700254559</v>
      </c>
    </row>
    <row r="74" spans="1:15" x14ac:dyDescent="0.25">
      <c r="A74" s="2" t="s">
        <v>95</v>
      </c>
      <c r="B74" t="s">
        <v>8</v>
      </c>
      <c r="G74" t="s">
        <v>59</v>
      </c>
      <c r="H74">
        <v>1500</v>
      </c>
      <c r="I74">
        <v>1080</v>
      </c>
      <c r="J74">
        <v>1200</v>
      </c>
      <c r="K74">
        <v>1500</v>
      </c>
      <c r="L74">
        <v>1620</v>
      </c>
      <c r="M74">
        <v>600</v>
      </c>
      <c r="N74">
        <v>1680</v>
      </c>
      <c r="O74">
        <v>9180</v>
      </c>
    </row>
    <row r="75" spans="1:15" x14ac:dyDescent="0.25">
      <c r="A75" s="2" t="s">
        <v>95</v>
      </c>
      <c r="B75" t="s">
        <v>10</v>
      </c>
      <c r="C75" t="s">
        <v>11</v>
      </c>
      <c r="D75">
        <v>232.01019361116209</v>
      </c>
      <c r="E75">
        <v>321.73949429821857</v>
      </c>
      <c r="F75">
        <v>21.22618517996062</v>
      </c>
      <c r="G75" t="s">
        <v>5</v>
      </c>
      <c r="H75">
        <v>1077.63627605179</v>
      </c>
      <c r="I75">
        <v>1633.6310922129701</v>
      </c>
      <c r="J75">
        <v>327.36498360361202</v>
      </c>
      <c r="K75">
        <v>675.87699271140195</v>
      </c>
      <c r="L75">
        <v>1270.3820690717901</v>
      </c>
      <c r="M75">
        <v>593.75069132050305</v>
      </c>
      <c r="N75">
        <v>1878.0655361518</v>
      </c>
      <c r="O75">
        <v>7456.7076411238677</v>
      </c>
    </row>
    <row r="76" spans="1:15" x14ac:dyDescent="0.25">
      <c r="A76" s="2" t="s">
        <v>95</v>
      </c>
      <c r="B76" t="s">
        <v>10</v>
      </c>
      <c r="G76" t="s">
        <v>59</v>
      </c>
      <c r="H76">
        <v>660</v>
      </c>
      <c r="I76">
        <v>1680</v>
      </c>
      <c r="J76">
        <v>360</v>
      </c>
      <c r="K76">
        <v>1080</v>
      </c>
      <c r="L76">
        <v>1380</v>
      </c>
      <c r="M76">
        <v>600</v>
      </c>
      <c r="N76">
        <v>1440</v>
      </c>
      <c r="O76">
        <v>7200</v>
      </c>
    </row>
    <row r="77" spans="1:15" x14ac:dyDescent="0.25">
      <c r="A77" s="2" t="s">
        <v>95</v>
      </c>
      <c r="B77" t="s">
        <v>12</v>
      </c>
      <c r="C77" t="s">
        <v>13</v>
      </c>
      <c r="D77">
        <v>296.26053684072389</v>
      </c>
      <c r="E77">
        <v>356.25712892085892</v>
      </c>
      <c r="F77">
        <v>67.848572106542051</v>
      </c>
      <c r="G77" t="s">
        <v>5</v>
      </c>
      <c r="H77">
        <v>337.06929370205</v>
      </c>
      <c r="I77">
        <v>511.85040898856698</v>
      </c>
      <c r="J77">
        <v>323.11760486685301</v>
      </c>
      <c r="K77">
        <v>367.12942843317597</v>
      </c>
      <c r="L77">
        <v>622.56800047581203</v>
      </c>
      <c r="M77">
        <v>842.73433558518104</v>
      </c>
      <c r="N77">
        <v>694.82662369085904</v>
      </c>
      <c r="O77">
        <v>3699.2956957424981</v>
      </c>
    </row>
    <row r="78" spans="1:15" x14ac:dyDescent="0.25">
      <c r="A78" s="2" t="s">
        <v>95</v>
      </c>
      <c r="B78" t="s">
        <v>12</v>
      </c>
      <c r="G78" t="s">
        <v>59</v>
      </c>
      <c r="H78">
        <v>240</v>
      </c>
      <c r="I78">
        <v>420</v>
      </c>
      <c r="J78">
        <v>0</v>
      </c>
      <c r="K78">
        <v>600</v>
      </c>
      <c r="L78">
        <v>660</v>
      </c>
      <c r="M78">
        <v>1260</v>
      </c>
      <c r="N78">
        <v>720</v>
      </c>
      <c r="O78">
        <v>3900</v>
      </c>
    </row>
    <row r="79" spans="1:15" x14ac:dyDescent="0.25">
      <c r="A79" s="2" t="s">
        <v>95</v>
      </c>
      <c r="B79" t="s">
        <v>14</v>
      </c>
      <c r="C79" t="s">
        <v>15</v>
      </c>
      <c r="D79">
        <v>160.97657494077799</v>
      </c>
      <c r="E79">
        <v>194.897187182262</v>
      </c>
      <c r="F79">
        <v>51.351086734902431</v>
      </c>
      <c r="G79" t="s">
        <v>5</v>
      </c>
      <c r="H79">
        <v>359.16700444968097</v>
      </c>
      <c r="I79">
        <v>480.80388818386501</v>
      </c>
      <c r="J79">
        <v>170.35752273084901</v>
      </c>
      <c r="K79">
        <v>318.871990056382</v>
      </c>
      <c r="L79">
        <v>572.74754508269996</v>
      </c>
      <c r="M79">
        <v>721.64102820503899</v>
      </c>
      <c r="N79">
        <v>669.78088235187397</v>
      </c>
      <c r="O79">
        <v>3293.3698610603901</v>
      </c>
    </row>
    <row r="80" spans="1:15" x14ac:dyDescent="0.25">
      <c r="A80" s="2" t="s">
        <v>95</v>
      </c>
      <c r="B80" t="s">
        <v>14</v>
      </c>
      <c r="G80" t="s">
        <v>59</v>
      </c>
      <c r="H80">
        <v>120</v>
      </c>
      <c r="I80">
        <v>540</v>
      </c>
      <c r="J80">
        <v>300</v>
      </c>
      <c r="K80">
        <v>600</v>
      </c>
      <c r="L80">
        <v>960</v>
      </c>
      <c r="M80">
        <v>480</v>
      </c>
      <c r="N80">
        <v>900</v>
      </c>
      <c r="O80">
        <v>3900</v>
      </c>
    </row>
    <row r="81" spans="1:15" x14ac:dyDescent="0.25">
      <c r="A81" s="2" t="s">
        <v>95</v>
      </c>
      <c r="B81" t="s">
        <v>16</v>
      </c>
      <c r="C81" t="s">
        <v>17</v>
      </c>
      <c r="D81">
        <v>939.33386694631668</v>
      </c>
      <c r="E81">
        <v>1067.3594698468521</v>
      </c>
      <c r="F81">
        <v>115.81230879155331</v>
      </c>
      <c r="G81" t="s">
        <v>5</v>
      </c>
      <c r="H81">
        <v>2104.51747461901</v>
      </c>
      <c r="I81">
        <v>2124.1734334836501</v>
      </c>
      <c r="J81">
        <v>2143.8293923482902</v>
      </c>
      <c r="K81">
        <v>2163.4853512129298</v>
      </c>
      <c r="L81">
        <v>2183.1413100775799</v>
      </c>
      <c r="M81">
        <v>2202.7972689422199</v>
      </c>
      <c r="N81">
        <v>2222.45322780686</v>
      </c>
      <c r="O81">
        <v>15144.397458490543</v>
      </c>
    </row>
    <row r="82" spans="1:15" x14ac:dyDescent="0.25">
      <c r="A82" s="2" t="s">
        <v>95</v>
      </c>
      <c r="B82" t="s">
        <v>16</v>
      </c>
      <c r="G82" t="s">
        <v>59</v>
      </c>
      <c r="H82">
        <v>1800</v>
      </c>
      <c r="I82">
        <v>1200</v>
      </c>
      <c r="J82">
        <v>2040</v>
      </c>
      <c r="K82">
        <v>2040</v>
      </c>
      <c r="L82">
        <v>6840</v>
      </c>
      <c r="M82">
        <v>360</v>
      </c>
      <c r="N82">
        <v>1560</v>
      </c>
      <c r="O82">
        <v>15840</v>
      </c>
    </row>
    <row r="83" spans="1:15" x14ac:dyDescent="0.25">
      <c r="A83" s="2" t="s">
        <v>95</v>
      </c>
      <c r="B83" t="s">
        <v>18</v>
      </c>
      <c r="C83" t="s">
        <v>19</v>
      </c>
      <c r="D83">
        <v>309.20839052124751</v>
      </c>
      <c r="E83">
        <v>357.36821809047171</v>
      </c>
      <c r="F83">
        <v>61.033661873628851</v>
      </c>
      <c r="G83" t="s">
        <v>5</v>
      </c>
      <c r="H83">
        <v>485.62233703852502</v>
      </c>
      <c r="I83">
        <v>474.162356636722</v>
      </c>
      <c r="J83">
        <v>1221.1785846002299</v>
      </c>
      <c r="K83">
        <v>1744.9494242478099</v>
      </c>
      <c r="L83">
        <v>569.96370564699498</v>
      </c>
      <c r="M83">
        <v>1478.7461033498601</v>
      </c>
      <c r="N83">
        <v>695.57289284650005</v>
      </c>
      <c r="O83">
        <v>6670.1954043666428</v>
      </c>
    </row>
    <row r="84" spans="1:15" x14ac:dyDescent="0.25">
      <c r="A84" s="2" t="s">
        <v>95</v>
      </c>
      <c r="B84" t="s">
        <v>18</v>
      </c>
      <c r="G84" t="s">
        <v>59</v>
      </c>
      <c r="H84">
        <v>600</v>
      </c>
      <c r="I84">
        <v>600</v>
      </c>
      <c r="J84">
        <v>840</v>
      </c>
      <c r="K84">
        <v>2040</v>
      </c>
      <c r="L84">
        <v>840</v>
      </c>
      <c r="M84">
        <v>1200</v>
      </c>
      <c r="N84">
        <v>840</v>
      </c>
      <c r="O84">
        <v>6960</v>
      </c>
    </row>
    <row r="85" spans="1:15" x14ac:dyDescent="0.25">
      <c r="A85" s="2" t="s">
        <v>95</v>
      </c>
      <c r="B85" t="s">
        <v>20</v>
      </c>
      <c r="C85" t="s">
        <v>15</v>
      </c>
      <c r="D85">
        <v>661.29510376690723</v>
      </c>
      <c r="E85">
        <v>757.71701397042295</v>
      </c>
      <c r="F85">
        <v>76.278076053253443</v>
      </c>
      <c r="G85" t="s">
        <v>5</v>
      </c>
      <c r="H85">
        <v>4614.3797548801804</v>
      </c>
      <c r="I85">
        <v>3591.2231018682801</v>
      </c>
      <c r="J85">
        <v>0</v>
      </c>
      <c r="K85">
        <v>4180.03063285998</v>
      </c>
      <c r="L85">
        <v>3943.3370775438898</v>
      </c>
      <c r="M85">
        <v>3734.4809734850601</v>
      </c>
      <c r="N85">
        <v>4084.0238996230401</v>
      </c>
      <c r="O85">
        <v>24147.47544026043</v>
      </c>
    </row>
    <row r="86" spans="1:15" x14ac:dyDescent="0.25">
      <c r="A86" s="2" t="s">
        <v>95</v>
      </c>
      <c r="B86" t="s">
        <v>20</v>
      </c>
      <c r="G86" t="s">
        <v>59</v>
      </c>
      <c r="H86">
        <v>4200</v>
      </c>
      <c r="I86">
        <v>6000</v>
      </c>
      <c r="J86">
        <v>0</v>
      </c>
      <c r="K86">
        <v>4800</v>
      </c>
      <c r="L86">
        <v>2250</v>
      </c>
      <c r="M86">
        <v>3450</v>
      </c>
      <c r="N86">
        <v>3900</v>
      </c>
      <c r="O86">
        <v>24600</v>
      </c>
    </row>
    <row r="87" spans="1:15" x14ac:dyDescent="0.25">
      <c r="A87" s="2" t="s">
        <v>95</v>
      </c>
      <c r="B87" t="s">
        <v>21</v>
      </c>
      <c r="C87" t="s">
        <v>22</v>
      </c>
      <c r="D87">
        <v>2382.0891339504192</v>
      </c>
      <c r="E87">
        <v>2836.6794935983348</v>
      </c>
      <c r="F87">
        <v>30.805129351237031</v>
      </c>
      <c r="G87" t="s">
        <v>5</v>
      </c>
      <c r="H87">
        <v>14752.824758475101</v>
      </c>
      <c r="I87">
        <v>9575.0622001900392</v>
      </c>
      <c r="J87">
        <v>8807.6743439293805</v>
      </c>
      <c r="K87">
        <v>10301.719681442801</v>
      </c>
      <c r="L87">
        <v>18740.737446497598</v>
      </c>
      <c r="M87">
        <v>9626.7417478951393</v>
      </c>
      <c r="N87">
        <v>10667.8806874127</v>
      </c>
      <c r="O87">
        <v>82472.640865842768</v>
      </c>
    </row>
    <row r="88" spans="1:15" x14ac:dyDescent="0.25">
      <c r="A88" s="2" t="s">
        <v>95</v>
      </c>
      <c r="B88" t="s">
        <v>21</v>
      </c>
      <c r="G88" t="s">
        <v>59</v>
      </c>
      <c r="H88">
        <v>13800</v>
      </c>
      <c r="I88">
        <v>9000</v>
      </c>
      <c r="J88">
        <v>15600</v>
      </c>
      <c r="K88">
        <v>12671</v>
      </c>
      <c r="L88">
        <v>15600</v>
      </c>
      <c r="M88">
        <v>4200</v>
      </c>
      <c r="N88">
        <v>12000</v>
      </c>
      <c r="O88">
        <v>82871</v>
      </c>
    </row>
    <row r="89" spans="1:15" x14ac:dyDescent="0.25">
      <c r="A89" s="2" t="s">
        <v>95</v>
      </c>
      <c r="B89" t="s">
        <v>23</v>
      </c>
      <c r="C89" t="s">
        <v>24</v>
      </c>
      <c r="D89">
        <v>612.43592702386366</v>
      </c>
      <c r="E89">
        <v>718.28157810713992</v>
      </c>
      <c r="F89">
        <v>66.867217029209598</v>
      </c>
      <c r="G89" t="s">
        <v>5</v>
      </c>
      <c r="H89">
        <v>2226.6381372200799</v>
      </c>
      <c r="I89">
        <v>2226.6381372200799</v>
      </c>
      <c r="J89">
        <v>2226.6381372200799</v>
      </c>
      <c r="K89">
        <v>2226.6381372200799</v>
      </c>
      <c r="L89">
        <v>2226.6381372200799</v>
      </c>
      <c r="M89">
        <v>2226.6381372200799</v>
      </c>
      <c r="N89">
        <v>2226.6381372200799</v>
      </c>
      <c r="O89">
        <v>15586.466960540558</v>
      </c>
    </row>
    <row r="90" spans="1:15" x14ac:dyDescent="0.25">
      <c r="A90" s="2" t="s">
        <v>95</v>
      </c>
      <c r="B90" t="s">
        <v>23</v>
      </c>
      <c r="G90" t="s">
        <v>59</v>
      </c>
      <c r="H90">
        <v>1680</v>
      </c>
      <c r="I90">
        <v>3120</v>
      </c>
      <c r="J90">
        <v>1800</v>
      </c>
      <c r="K90">
        <v>2760</v>
      </c>
      <c r="L90">
        <v>2760</v>
      </c>
      <c r="M90">
        <v>2040</v>
      </c>
      <c r="N90">
        <v>960</v>
      </c>
      <c r="O90">
        <v>15120</v>
      </c>
    </row>
    <row r="91" spans="1:15" x14ac:dyDescent="0.25">
      <c r="A91" s="2" t="s">
        <v>95</v>
      </c>
      <c r="B91" t="s">
        <v>25</v>
      </c>
      <c r="C91" t="s">
        <v>26</v>
      </c>
      <c r="D91">
        <v>1539.8361297229981</v>
      </c>
      <c r="E91">
        <v>1748.0411359700061</v>
      </c>
      <c r="F91">
        <v>85.143736389780827</v>
      </c>
      <c r="G91" t="s">
        <v>5</v>
      </c>
      <c r="H91">
        <v>3136.5638029925599</v>
      </c>
      <c r="I91">
        <v>3077.4676158466</v>
      </c>
      <c r="J91">
        <v>3018.3714287006301</v>
      </c>
      <c r="K91">
        <v>2959.2752415546702</v>
      </c>
      <c r="L91">
        <v>2900.1790544086998</v>
      </c>
      <c r="M91">
        <v>2841.0828672627399</v>
      </c>
      <c r="N91">
        <v>2781.98668011677</v>
      </c>
      <c r="O91">
        <v>20714.926690882672</v>
      </c>
    </row>
    <row r="92" spans="1:15" x14ac:dyDescent="0.25">
      <c r="A92" s="2" t="s">
        <v>95</v>
      </c>
      <c r="B92" t="s">
        <v>25</v>
      </c>
      <c r="G92" t="s">
        <v>59</v>
      </c>
      <c r="H92">
        <v>8400</v>
      </c>
      <c r="I92">
        <v>240</v>
      </c>
      <c r="J92">
        <v>4200</v>
      </c>
      <c r="K92">
        <v>6240</v>
      </c>
      <c r="L92">
        <v>3240</v>
      </c>
      <c r="M92">
        <v>1200</v>
      </c>
      <c r="N92">
        <v>4200</v>
      </c>
      <c r="O92">
        <v>27720</v>
      </c>
    </row>
    <row r="93" spans="1:15" x14ac:dyDescent="0.25">
      <c r="A93" s="2" t="s">
        <v>95</v>
      </c>
      <c r="B93" t="s">
        <v>28</v>
      </c>
      <c r="C93" t="s">
        <v>15</v>
      </c>
      <c r="D93">
        <v>4179.3864350094555</v>
      </c>
      <c r="E93">
        <v>4558.8898054449564</v>
      </c>
      <c r="F93">
        <v>110.2300068228071</v>
      </c>
      <c r="G93" t="s">
        <v>5</v>
      </c>
      <c r="H93">
        <v>12166.8592730951</v>
      </c>
      <c r="I93">
        <v>4026.9535822784901</v>
      </c>
      <c r="J93">
        <v>5699.8963047778298</v>
      </c>
      <c r="K93">
        <v>10424.5894065804</v>
      </c>
      <c r="L93">
        <v>12136.2958385906</v>
      </c>
      <c r="M93">
        <v>12520.8453028556</v>
      </c>
      <c r="N93">
        <v>12027.039284078301</v>
      </c>
      <c r="O93">
        <v>69002.478992256321</v>
      </c>
    </row>
    <row r="94" spans="1:15" x14ac:dyDescent="0.25">
      <c r="A94" s="2" t="s">
        <v>95</v>
      </c>
      <c r="B94" t="s">
        <v>28</v>
      </c>
      <c r="G94" t="s">
        <v>59</v>
      </c>
      <c r="H94">
        <v>8400</v>
      </c>
      <c r="I94">
        <v>1800</v>
      </c>
      <c r="J94">
        <v>5400</v>
      </c>
      <c r="K94">
        <v>10800</v>
      </c>
      <c r="L94">
        <v>16800</v>
      </c>
      <c r="M94">
        <v>6360</v>
      </c>
      <c r="N94">
        <v>10800</v>
      </c>
      <c r="O94">
        <v>60360</v>
      </c>
    </row>
    <row r="95" spans="1:15" x14ac:dyDescent="0.25">
      <c r="A95" s="2" t="s">
        <v>95</v>
      </c>
      <c r="B95" t="s">
        <v>29</v>
      </c>
      <c r="C95" t="s">
        <v>7</v>
      </c>
      <c r="D95">
        <v>813.81425760892671</v>
      </c>
      <c r="E95">
        <v>1042.018799645555</v>
      </c>
      <c r="F95">
        <v>47.058159602282373</v>
      </c>
      <c r="G95" t="s">
        <v>5</v>
      </c>
      <c r="H95">
        <v>3212.6487926217601</v>
      </c>
      <c r="I95">
        <v>3914.4826599613598</v>
      </c>
      <c r="J95">
        <v>1547.5013097998401</v>
      </c>
      <c r="K95">
        <v>4705.0356505931304</v>
      </c>
      <c r="L95">
        <v>8019.1756062475797</v>
      </c>
      <c r="M95">
        <v>2111.7945951950401</v>
      </c>
      <c r="N95">
        <v>3743.6988035640602</v>
      </c>
      <c r="O95">
        <v>27254.33741798277</v>
      </c>
    </row>
    <row r="96" spans="1:15" x14ac:dyDescent="0.25">
      <c r="A96" s="2" t="s">
        <v>95</v>
      </c>
      <c r="B96" t="s">
        <v>29</v>
      </c>
      <c r="G96" t="s">
        <v>59</v>
      </c>
      <c r="H96">
        <v>1800</v>
      </c>
      <c r="I96">
        <v>3840</v>
      </c>
      <c r="J96">
        <v>960</v>
      </c>
      <c r="K96">
        <v>4680</v>
      </c>
      <c r="L96">
        <v>13200</v>
      </c>
      <c r="M96">
        <v>1800</v>
      </c>
      <c r="N96">
        <v>4320</v>
      </c>
      <c r="O96">
        <v>30600</v>
      </c>
    </row>
    <row r="97" spans="1:15" x14ac:dyDescent="0.25">
      <c r="A97" s="2" t="s">
        <v>95</v>
      </c>
      <c r="B97" t="s">
        <v>30</v>
      </c>
      <c r="C97" t="s">
        <v>31</v>
      </c>
      <c r="D97">
        <v>1415.177839323253</v>
      </c>
      <c r="E97">
        <v>1806.61819567406</v>
      </c>
      <c r="F97">
        <v>117.61892519584801</v>
      </c>
      <c r="G97" t="s">
        <v>5</v>
      </c>
      <c r="H97">
        <v>3257.5338633463698</v>
      </c>
      <c r="I97">
        <v>1613.4253680716599</v>
      </c>
      <c r="J97">
        <v>566.59625710517298</v>
      </c>
      <c r="K97">
        <v>4271.5738739409599</v>
      </c>
      <c r="L97">
        <v>5311.3507915720902</v>
      </c>
      <c r="M97">
        <v>3695.0449456694901</v>
      </c>
      <c r="N97">
        <v>2242.7831163364299</v>
      </c>
      <c r="O97">
        <v>20958.308216042176</v>
      </c>
    </row>
    <row r="98" spans="1:15" x14ac:dyDescent="0.25">
      <c r="A98" s="2" t="s">
        <v>95</v>
      </c>
      <c r="B98" t="s">
        <v>30</v>
      </c>
      <c r="G98" t="s">
        <v>59</v>
      </c>
      <c r="H98">
        <v>3000</v>
      </c>
      <c r="I98">
        <v>840</v>
      </c>
      <c r="J98">
        <v>840</v>
      </c>
      <c r="K98">
        <v>5040</v>
      </c>
      <c r="L98">
        <v>6240</v>
      </c>
      <c r="M98">
        <v>6960</v>
      </c>
      <c r="N98">
        <v>2160</v>
      </c>
      <c r="O98">
        <v>25080</v>
      </c>
    </row>
    <row r="99" spans="1:15" x14ac:dyDescent="0.25">
      <c r="A99" s="2" t="s">
        <v>95</v>
      </c>
      <c r="B99" t="s">
        <v>32</v>
      </c>
      <c r="C99" t="s">
        <v>13</v>
      </c>
      <c r="D99">
        <v>845.27351296227573</v>
      </c>
      <c r="E99">
        <v>1138.349998467146</v>
      </c>
      <c r="F99">
        <v>30.618483883451749</v>
      </c>
      <c r="G99" t="s">
        <v>5</v>
      </c>
      <c r="H99">
        <v>4246.1409749024297</v>
      </c>
      <c r="I99">
        <v>5154.5191479350497</v>
      </c>
      <c r="J99">
        <v>1972.45296164051</v>
      </c>
      <c r="K99">
        <v>6824.2987174215896</v>
      </c>
      <c r="L99">
        <v>6798.4114287088496</v>
      </c>
      <c r="M99">
        <v>2406.1203667611599</v>
      </c>
      <c r="N99">
        <v>6406.08920381391</v>
      </c>
      <c r="O99">
        <v>33808.032801183494</v>
      </c>
    </row>
    <row r="100" spans="1:15" x14ac:dyDescent="0.25">
      <c r="A100" s="2" t="s">
        <v>95</v>
      </c>
      <c r="B100" t="s">
        <v>32</v>
      </c>
      <c r="G100" t="s">
        <v>59</v>
      </c>
      <c r="H100">
        <v>5160</v>
      </c>
      <c r="I100">
        <v>3720</v>
      </c>
      <c r="J100">
        <v>3000</v>
      </c>
      <c r="K100">
        <v>4800</v>
      </c>
      <c r="L100">
        <v>6720</v>
      </c>
      <c r="M100">
        <v>2400</v>
      </c>
      <c r="N100">
        <v>7800</v>
      </c>
      <c r="O100">
        <v>33600</v>
      </c>
    </row>
    <row r="101" spans="1:15" x14ac:dyDescent="0.25">
      <c r="A101" s="2" t="s">
        <v>95</v>
      </c>
      <c r="B101" t="s">
        <v>33</v>
      </c>
      <c r="C101" t="s">
        <v>34</v>
      </c>
      <c r="D101">
        <v>1162.319049978976</v>
      </c>
      <c r="E101">
        <v>1413.76919906798</v>
      </c>
      <c r="F101">
        <v>47.450621527806177</v>
      </c>
      <c r="G101" t="s">
        <v>5</v>
      </c>
      <c r="H101">
        <v>3393.9104630010902</v>
      </c>
      <c r="I101">
        <v>4469.5275706543298</v>
      </c>
      <c r="J101">
        <v>2273.5627845890899</v>
      </c>
      <c r="K101">
        <v>5133.4652798678999</v>
      </c>
      <c r="L101">
        <v>4416.4760083046003</v>
      </c>
      <c r="M101">
        <v>3088.69393089405</v>
      </c>
      <c r="N101">
        <v>7261.5660536528903</v>
      </c>
      <c r="O101">
        <v>30037.202090963947</v>
      </c>
    </row>
    <row r="102" spans="1:15" x14ac:dyDescent="0.25">
      <c r="A102" s="2" t="s">
        <v>95</v>
      </c>
      <c r="B102" t="s">
        <v>33</v>
      </c>
      <c r="G102" t="s">
        <v>59</v>
      </c>
      <c r="H102">
        <v>1800</v>
      </c>
      <c r="I102">
        <v>7200</v>
      </c>
      <c r="J102">
        <v>2640</v>
      </c>
      <c r="K102">
        <v>6120</v>
      </c>
      <c r="L102">
        <v>5400</v>
      </c>
      <c r="M102">
        <v>1200</v>
      </c>
      <c r="N102">
        <v>4200</v>
      </c>
      <c r="O102">
        <v>28560</v>
      </c>
    </row>
    <row r="103" spans="1:15" x14ac:dyDescent="0.25">
      <c r="A103" s="2" t="s">
        <v>95</v>
      </c>
      <c r="B103" t="s">
        <v>35</v>
      </c>
      <c r="C103" t="s">
        <v>36</v>
      </c>
      <c r="D103">
        <v>557.60455570700697</v>
      </c>
      <c r="E103">
        <v>646.23996810600215</v>
      </c>
      <c r="F103">
        <v>22.891942167841481</v>
      </c>
      <c r="G103" t="s">
        <v>5</v>
      </c>
      <c r="H103">
        <v>1937.86801160305</v>
      </c>
      <c r="I103">
        <v>1611.4263764510999</v>
      </c>
      <c r="J103">
        <v>584.08276426653197</v>
      </c>
      <c r="K103">
        <v>1460.6128603413199</v>
      </c>
      <c r="L103">
        <v>2625.2634068901898</v>
      </c>
      <c r="M103">
        <v>1785.8590222621301</v>
      </c>
      <c r="N103">
        <v>1727.18957690603</v>
      </c>
      <c r="O103">
        <v>11732.302018720351</v>
      </c>
    </row>
    <row r="104" spans="1:15" x14ac:dyDescent="0.25">
      <c r="A104" s="2" t="s">
        <v>95</v>
      </c>
      <c r="B104" t="s">
        <v>35</v>
      </c>
      <c r="G104" t="s">
        <v>59</v>
      </c>
      <c r="H104">
        <v>2520</v>
      </c>
      <c r="I104">
        <v>1200</v>
      </c>
      <c r="J104">
        <v>0</v>
      </c>
      <c r="K104">
        <v>2400</v>
      </c>
      <c r="L104">
        <v>4440</v>
      </c>
      <c r="M104">
        <v>1920</v>
      </c>
      <c r="N104">
        <v>1800</v>
      </c>
      <c r="O104">
        <v>14280</v>
      </c>
    </row>
    <row r="105" spans="1:15" x14ac:dyDescent="0.25">
      <c r="A105" s="2" t="s">
        <v>95</v>
      </c>
      <c r="B105" t="s">
        <v>37</v>
      </c>
      <c r="C105" t="s">
        <v>17</v>
      </c>
      <c r="D105">
        <v>500.40376269578962</v>
      </c>
      <c r="E105">
        <v>585.18786845281022</v>
      </c>
      <c r="F105">
        <v>35.183391734850318</v>
      </c>
      <c r="G105" t="s">
        <v>5</v>
      </c>
      <c r="H105">
        <v>2555.3238747985201</v>
      </c>
      <c r="I105">
        <v>1624.05181019877</v>
      </c>
      <c r="J105">
        <v>825.10943523246397</v>
      </c>
      <c r="K105">
        <v>1787.0227385015801</v>
      </c>
      <c r="L105">
        <v>2664.75159929657</v>
      </c>
      <c r="M105">
        <v>2995.06311316032</v>
      </c>
      <c r="N105">
        <v>1586.3307844762801</v>
      </c>
      <c r="O105">
        <v>14037.653355664504</v>
      </c>
    </row>
    <row r="106" spans="1:15" x14ac:dyDescent="0.25">
      <c r="A106" s="2" t="s">
        <v>95</v>
      </c>
      <c r="B106" t="s">
        <v>37</v>
      </c>
      <c r="G106" t="s">
        <v>59</v>
      </c>
      <c r="H106">
        <v>3360</v>
      </c>
      <c r="I106">
        <v>1800</v>
      </c>
      <c r="J106">
        <v>1800</v>
      </c>
      <c r="K106">
        <v>2160</v>
      </c>
      <c r="L106">
        <v>3480</v>
      </c>
      <c r="M106">
        <v>1920</v>
      </c>
      <c r="N106">
        <v>1560</v>
      </c>
      <c r="O106">
        <v>16080</v>
      </c>
    </row>
    <row r="107" spans="1:15" x14ac:dyDescent="0.25">
      <c r="A107" s="2" t="s">
        <v>96</v>
      </c>
      <c r="B107" t="s">
        <v>6</v>
      </c>
      <c r="C107" t="s">
        <v>7</v>
      </c>
      <c r="D107">
        <v>3925.7900359975602</v>
      </c>
      <c r="E107">
        <v>4127.5523510104476</v>
      </c>
      <c r="F107">
        <v>25.56942245630032</v>
      </c>
      <c r="G107" t="s">
        <v>5</v>
      </c>
      <c r="H107">
        <v>17732.3828125</v>
      </c>
      <c r="I107">
        <v>17583.427734375</v>
      </c>
      <c r="J107">
        <v>11592.337890625</v>
      </c>
      <c r="K107">
        <v>24708.08984375</v>
      </c>
      <c r="L107">
        <v>27090.490234375</v>
      </c>
      <c r="M107">
        <v>19709.576171875</v>
      </c>
      <c r="N107">
        <v>11969.0224609375</v>
      </c>
      <c r="O107">
        <f>SUM(H107:N107)</f>
        <v>130385.3271484375</v>
      </c>
    </row>
    <row r="108" spans="1:15" x14ac:dyDescent="0.25">
      <c r="A108" s="2" t="s">
        <v>96</v>
      </c>
      <c r="B108" t="s">
        <v>6</v>
      </c>
      <c r="G108" t="s">
        <v>59</v>
      </c>
      <c r="H108">
        <v>10800</v>
      </c>
      <c r="I108">
        <v>18000</v>
      </c>
      <c r="J108">
        <v>12000</v>
      </c>
      <c r="K108">
        <v>28320</v>
      </c>
      <c r="L108">
        <v>25800</v>
      </c>
      <c r="M108">
        <v>25800</v>
      </c>
      <c r="N108">
        <v>19800</v>
      </c>
      <c r="O108">
        <f t="shared" ref="O108:O150" si="2">SUM(H108:N108)</f>
        <v>140520</v>
      </c>
    </row>
    <row r="109" spans="1:15" x14ac:dyDescent="0.25">
      <c r="A109" s="2" t="s">
        <v>96</v>
      </c>
      <c r="B109" t="s">
        <v>27</v>
      </c>
      <c r="C109" t="s">
        <v>11</v>
      </c>
      <c r="D109">
        <v>989.15969777489931</v>
      </c>
      <c r="E109">
        <v>1182.289171929961</v>
      </c>
      <c r="F109">
        <v>34.357923627152111</v>
      </c>
      <c r="G109" t="s">
        <v>5</v>
      </c>
      <c r="H109">
        <v>5696.66162109375</v>
      </c>
      <c r="I109">
        <v>5773.73974609375</v>
      </c>
      <c r="J109">
        <v>4454.2109375</v>
      </c>
      <c r="K109">
        <v>4727.28125</v>
      </c>
      <c r="L109">
        <v>3828.8251953125</v>
      </c>
      <c r="M109">
        <v>3392.5810546875</v>
      </c>
      <c r="N109">
        <v>4312.06103515625</v>
      </c>
      <c r="O109">
        <f t="shared" si="2"/>
        <v>32185.36083984375</v>
      </c>
    </row>
    <row r="110" spans="1:15" x14ac:dyDescent="0.25">
      <c r="A110" s="2" t="s">
        <v>96</v>
      </c>
      <c r="B110" t="s">
        <v>27</v>
      </c>
      <c r="G110" t="s">
        <v>59</v>
      </c>
      <c r="H110">
        <v>6000</v>
      </c>
      <c r="I110">
        <v>7050</v>
      </c>
      <c r="J110">
        <v>6000</v>
      </c>
      <c r="K110">
        <v>5550</v>
      </c>
      <c r="L110">
        <v>4050</v>
      </c>
      <c r="M110">
        <v>2250</v>
      </c>
      <c r="N110">
        <v>3000</v>
      </c>
      <c r="O110">
        <f t="shared" si="2"/>
        <v>33900</v>
      </c>
    </row>
    <row r="111" spans="1:15" x14ac:dyDescent="0.25">
      <c r="A111" s="2" t="s">
        <v>96</v>
      </c>
      <c r="B111" t="s">
        <v>38</v>
      </c>
      <c r="C111" t="s">
        <v>39</v>
      </c>
      <c r="D111">
        <v>4618.5294569916614</v>
      </c>
      <c r="E111">
        <v>5226.9588533476044</v>
      </c>
      <c r="F111">
        <v>64.938720114147969</v>
      </c>
      <c r="G111" t="s">
        <v>5</v>
      </c>
      <c r="H111">
        <v>13368.327049369</v>
      </c>
      <c r="I111">
        <v>14947.5282774022</v>
      </c>
      <c r="J111">
        <v>12300.1030117262</v>
      </c>
      <c r="K111">
        <v>15806.682219726899</v>
      </c>
      <c r="L111">
        <v>14442.0118159472</v>
      </c>
      <c r="M111">
        <v>9306.1654872028903</v>
      </c>
      <c r="N111">
        <v>11884.072408146199</v>
      </c>
      <c r="O111">
        <f t="shared" si="2"/>
        <v>92054.890269520576</v>
      </c>
    </row>
    <row r="112" spans="1:15" x14ac:dyDescent="0.25">
      <c r="A112" s="2" t="s">
        <v>96</v>
      </c>
      <c r="B112" t="s">
        <v>38</v>
      </c>
      <c r="G112" t="s">
        <v>59</v>
      </c>
      <c r="H112">
        <v>12000</v>
      </c>
      <c r="I112">
        <v>18000</v>
      </c>
      <c r="J112">
        <v>9000</v>
      </c>
      <c r="K112">
        <v>21000</v>
      </c>
      <c r="L112">
        <v>15000</v>
      </c>
      <c r="M112">
        <v>6000</v>
      </c>
      <c r="N112">
        <v>9000</v>
      </c>
      <c r="O112">
        <f t="shared" si="2"/>
        <v>90000</v>
      </c>
    </row>
    <row r="113" spans="1:15" x14ac:dyDescent="0.25">
      <c r="A113" s="2" t="s">
        <v>96</v>
      </c>
      <c r="B113" t="s">
        <v>40</v>
      </c>
      <c r="C113" t="s">
        <v>31</v>
      </c>
      <c r="D113">
        <v>1220.241812445295</v>
      </c>
      <c r="E113">
        <v>1466.6586656585989</v>
      </c>
      <c r="F113">
        <v>32.756126858919252</v>
      </c>
      <c r="G113" t="s">
        <v>5</v>
      </c>
      <c r="H113">
        <v>4244.4324936697003</v>
      </c>
      <c r="I113">
        <v>3350.2195904531</v>
      </c>
      <c r="J113">
        <v>5259.2929499725897</v>
      </c>
      <c r="K113">
        <v>4665.2234707494199</v>
      </c>
      <c r="L113">
        <v>5283.1007551033299</v>
      </c>
      <c r="M113">
        <v>4704.5080350648896</v>
      </c>
      <c r="N113">
        <v>5192.3206764239503</v>
      </c>
      <c r="O113">
        <f t="shared" si="2"/>
        <v>32699.097971436979</v>
      </c>
    </row>
    <row r="114" spans="1:15" x14ac:dyDescent="0.25">
      <c r="A114" s="2" t="s">
        <v>96</v>
      </c>
      <c r="B114" t="s">
        <v>40</v>
      </c>
      <c r="G114" t="s">
        <v>59</v>
      </c>
      <c r="H114">
        <v>3750</v>
      </c>
      <c r="I114">
        <v>4800</v>
      </c>
      <c r="J114">
        <v>4800</v>
      </c>
      <c r="K114">
        <v>5250</v>
      </c>
      <c r="L114">
        <v>4500</v>
      </c>
      <c r="M114">
        <v>3000</v>
      </c>
      <c r="N114">
        <v>4500</v>
      </c>
      <c r="O114">
        <f t="shared" si="2"/>
        <v>30600</v>
      </c>
    </row>
    <row r="115" spans="1:15" x14ac:dyDescent="0.25">
      <c r="A115" s="2" t="s">
        <v>96</v>
      </c>
      <c r="B115" t="s">
        <v>41</v>
      </c>
      <c r="C115" t="s">
        <v>42</v>
      </c>
      <c r="D115">
        <v>2353.5581309654849</v>
      </c>
      <c r="E115">
        <v>3157.6619219648269</v>
      </c>
      <c r="F115">
        <v>25.146900039977101</v>
      </c>
      <c r="G115" t="s">
        <v>5</v>
      </c>
      <c r="H115">
        <v>15112.2866514326</v>
      </c>
      <c r="I115">
        <v>15591.8512457134</v>
      </c>
      <c r="J115">
        <v>10336.4704089186</v>
      </c>
      <c r="K115">
        <v>14876.762867151399</v>
      </c>
      <c r="L115">
        <v>14314.5984064687</v>
      </c>
      <c r="M115">
        <v>20632.4815626948</v>
      </c>
      <c r="N115">
        <v>16143.6383180333</v>
      </c>
      <c r="O115">
        <f t="shared" si="2"/>
        <v>107008.0894604128</v>
      </c>
    </row>
    <row r="116" spans="1:15" x14ac:dyDescent="0.25">
      <c r="A116" s="2" t="s">
        <v>96</v>
      </c>
      <c r="B116" t="s">
        <v>41</v>
      </c>
      <c r="G116" t="s">
        <v>59</v>
      </c>
      <c r="H116">
        <v>12000</v>
      </c>
      <c r="I116">
        <v>18000</v>
      </c>
      <c r="J116">
        <v>9000</v>
      </c>
      <c r="K116">
        <v>13200</v>
      </c>
      <c r="L116">
        <v>13200</v>
      </c>
      <c r="M116">
        <v>21000</v>
      </c>
      <c r="N116">
        <v>15000</v>
      </c>
      <c r="O116">
        <f t="shared" si="2"/>
        <v>101400</v>
      </c>
    </row>
    <row r="117" spans="1:15" x14ac:dyDescent="0.25">
      <c r="A117" s="2" t="s">
        <v>96</v>
      </c>
      <c r="B117" t="s">
        <v>43</v>
      </c>
      <c r="C117" t="s">
        <v>44</v>
      </c>
      <c r="D117">
        <v>753.87503631855714</v>
      </c>
      <c r="E117">
        <v>857.07940067147956</v>
      </c>
      <c r="F117">
        <v>37.464813898128398</v>
      </c>
      <c r="G117" t="s">
        <v>5</v>
      </c>
      <c r="H117">
        <v>3859.7026418333098</v>
      </c>
      <c r="I117">
        <v>3025.5937917443698</v>
      </c>
      <c r="J117">
        <v>2359.9543787941502</v>
      </c>
      <c r="K117">
        <v>3726.8789716073202</v>
      </c>
      <c r="L117">
        <v>2723.5092371287401</v>
      </c>
      <c r="M117">
        <v>1955.8328830281901</v>
      </c>
      <c r="N117">
        <v>3270.5586388714401</v>
      </c>
      <c r="O117">
        <f t="shared" si="2"/>
        <v>20922.03054300752</v>
      </c>
    </row>
    <row r="118" spans="1:15" x14ac:dyDescent="0.25">
      <c r="A118" s="2" t="s">
        <v>96</v>
      </c>
      <c r="B118" t="s">
        <v>43</v>
      </c>
      <c r="G118" t="s">
        <v>59</v>
      </c>
      <c r="H118">
        <v>3750</v>
      </c>
      <c r="I118">
        <v>3300</v>
      </c>
      <c r="J118">
        <v>1500</v>
      </c>
      <c r="K118">
        <v>3900</v>
      </c>
      <c r="L118">
        <v>3150</v>
      </c>
      <c r="M118">
        <v>2250</v>
      </c>
      <c r="N118">
        <v>3000</v>
      </c>
      <c r="O118">
        <f t="shared" si="2"/>
        <v>20850</v>
      </c>
    </row>
    <row r="119" spans="1:15" x14ac:dyDescent="0.25">
      <c r="A119" s="2" t="s">
        <v>96</v>
      </c>
      <c r="B119" t="s">
        <v>45</v>
      </c>
      <c r="C119" t="s">
        <v>46</v>
      </c>
      <c r="D119">
        <v>1956.1898671868439</v>
      </c>
      <c r="E119">
        <v>2190.928740080059</v>
      </c>
      <c r="F119">
        <v>34.711814135757031</v>
      </c>
      <c r="G119" t="s">
        <v>5</v>
      </c>
      <c r="H119">
        <v>12768.94921875</v>
      </c>
      <c r="I119">
        <v>13684.830078125</v>
      </c>
      <c r="J119">
        <v>13624.8984375</v>
      </c>
      <c r="K119">
        <v>11851.2275390625</v>
      </c>
      <c r="L119">
        <v>13746.0263671875</v>
      </c>
      <c r="M119">
        <v>9526.2001953125</v>
      </c>
      <c r="N119">
        <v>9994.6669921875</v>
      </c>
      <c r="O119">
        <f t="shared" si="2"/>
        <v>85196.798828125</v>
      </c>
    </row>
    <row r="120" spans="1:15" x14ac:dyDescent="0.25">
      <c r="A120" s="2" t="s">
        <v>96</v>
      </c>
      <c r="B120" t="s">
        <v>45</v>
      </c>
      <c r="G120" t="s">
        <v>59</v>
      </c>
      <c r="H120">
        <v>15000</v>
      </c>
      <c r="I120">
        <v>15000</v>
      </c>
      <c r="J120">
        <v>3000</v>
      </c>
      <c r="K120">
        <v>12000</v>
      </c>
      <c r="L120">
        <v>12000</v>
      </c>
      <c r="M120">
        <v>3000</v>
      </c>
      <c r="N120">
        <v>10200</v>
      </c>
      <c r="O120">
        <f t="shared" si="2"/>
        <v>70200</v>
      </c>
    </row>
    <row r="121" spans="1:15" x14ac:dyDescent="0.25">
      <c r="A121" s="2" t="s">
        <v>96</v>
      </c>
      <c r="B121" t="s">
        <v>47</v>
      </c>
      <c r="C121" t="s">
        <v>48</v>
      </c>
      <c r="D121">
        <v>962.4431793768556</v>
      </c>
      <c r="E121">
        <v>1179.105688242111</v>
      </c>
      <c r="F121">
        <v>45.400550503093548</v>
      </c>
      <c r="G121" t="s">
        <v>5</v>
      </c>
      <c r="H121">
        <v>1180</v>
      </c>
      <c r="I121">
        <v>1600</v>
      </c>
      <c r="J121">
        <v>200</v>
      </c>
      <c r="K121">
        <v>380</v>
      </c>
      <c r="L121">
        <v>540</v>
      </c>
      <c r="M121">
        <v>1420</v>
      </c>
      <c r="N121">
        <v>980</v>
      </c>
      <c r="O121">
        <f t="shared" si="2"/>
        <v>6300</v>
      </c>
    </row>
    <row r="122" spans="1:15" x14ac:dyDescent="0.25">
      <c r="A122" s="2" t="s">
        <v>96</v>
      </c>
      <c r="B122" t="s">
        <v>47</v>
      </c>
      <c r="G122" t="s">
        <v>59</v>
      </c>
      <c r="H122">
        <v>300</v>
      </c>
      <c r="I122">
        <v>600</v>
      </c>
      <c r="J122">
        <v>0</v>
      </c>
      <c r="K122">
        <v>0</v>
      </c>
      <c r="L122">
        <v>4500</v>
      </c>
      <c r="M122">
        <v>5160</v>
      </c>
      <c r="N122">
        <v>4200</v>
      </c>
      <c r="O122">
        <f t="shared" si="2"/>
        <v>14760</v>
      </c>
    </row>
    <row r="123" spans="1:15" x14ac:dyDescent="0.25">
      <c r="A123" s="2" t="s">
        <v>96</v>
      </c>
      <c r="B123" t="s">
        <v>49</v>
      </c>
      <c r="C123" t="s">
        <v>50</v>
      </c>
      <c r="D123">
        <v>462.65278701651039</v>
      </c>
      <c r="E123">
        <v>523.1664641103107</v>
      </c>
      <c r="F123">
        <v>107.072613748397</v>
      </c>
      <c r="G123" t="s">
        <v>5</v>
      </c>
      <c r="H123">
        <v>2288.59599598356</v>
      </c>
      <c r="I123">
        <v>1152.34382239141</v>
      </c>
      <c r="J123">
        <v>607.19642598683299</v>
      </c>
      <c r="K123">
        <v>1050.6145643191801</v>
      </c>
      <c r="L123">
        <v>1596.31690026196</v>
      </c>
      <c r="M123">
        <v>2696.7705967614502</v>
      </c>
      <c r="N123">
        <v>492.30009819586002</v>
      </c>
      <c r="O123">
        <f t="shared" si="2"/>
        <v>9884.1384039002533</v>
      </c>
    </row>
    <row r="124" spans="1:15" x14ac:dyDescent="0.25">
      <c r="A124" s="2" t="s">
        <v>96</v>
      </c>
      <c r="B124" t="s">
        <v>49</v>
      </c>
      <c r="G124" t="s">
        <v>59</v>
      </c>
      <c r="H124">
        <v>0</v>
      </c>
      <c r="I124">
        <v>1680</v>
      </c>
      <c r="J124">
        <v>420</v>
      </c>
      <c r="K124">
        <v>1200</v>
      </c>
      <c r="L124">
        <v>1200</v>
      </c>
      <c r="M124">
        <v>2760</v>
      </c>
      <c r="N124">
        <v>120</v>
      </c>
      <c r="O124">
        <f t="shared" si="2"/>
        <v>7380</v>
      </c>
    </row>
    <row r="125" spans="1:15" x14ac:dyDescent="0.25">
      <c r="A125" s="2" t="s">
        <v>96</v>
      </c>
      <c r="B125" t="s">
        <v>8</v>
      </c>
      <c r="C125" t="s">
        <v>9</v>
      </c>
      <c r="D125">
        <v>250.8257294371891</v>
      </c>
      <c r="E125">
        <v>290.17225582680391</v>
      </c>
      <c r="F125">
        <v>36.626048430824078</v>
      </c>
      <c r="G125" t="s">
        <v>5</v>
      </c>
      <c r="H125">
        <v>1211.13505526838</v>
      </c>
      <c r="I125">
        <v>655.16622796664706</v>
      </c>
      <c r="J125">
        <v>1005.0083996956999</v>
      </c>
      <c r="K125">
        <v>1129.1175218393</v>
      </c>
      <c r="L125">
        <v>1613.38043911505</v>
      </c>
      <c r="M125">
        <v>503.003376080355</v>
      </c>
      <c r="N125">
        <v>1226.21207689681</v>
      </c>
      <c r="O125">
        <f t="shared" si="2"/>
        <v>7343.0230968622418</v>
      </c>
    </row>
    <row r="126" spans="1:15" x14ac:dyDescent="0.25">
      <c r="A126" s="2" t="s">
        <v>96</v>
      </c>
      <c r="B126" t="s">
        <v>8</v>
      </c>
      <c r="G126" t="s">
        <v>59</v>
      </c>
      <c r="H126">
        <v>1500</v>
      </c>
      <c r="I126">
        <v>1080</v>
      </c>
      <c r="J126">
        <v>1200</v>
      </c>
      <c r="K126">
        <v>1500</v>
      </c>
      <c r="L126">
        <v>1620</v>
      </c>
      <c r="M126">
        <v>600</v>
      </c>
      <c r="N126">
        <v>1680</v>
      </c>
      <c r="O126">
        <f t="shared" si="2"/>
        <v>9180</v>
      </c>
    </row>
    <row r="127" spans="1:15" x14ac:dyDescent="0.25">
      <c r="A127" s="2" t="s">
        <v>96</v>
      </c>
      <c r="B127" t="s">
        <v>10</v>
      </c>
      <c r="C127" t="s">
        <v>11</v>
      </c>
      <c r="D127">
        <v>232.01019361116209</v>
      </c>
      <c r="E127">
        <v>321.73949429821857</v>
      </c>
      <c r="F127">
        <v>21.22618517996062</v>
      </c>
      <c r="G127" t="s">
        <v>5</v>
      </c>
      <c r="H127">
        <v>796.84389383258997</v>
      </c>
      <c r="I127">
        <v>1591.00217252161</v>
      </c>
      <c r="J127">
        <v>564.01264032728704</v>
      </c>
      <c r="K127">
        <v>1151.1265679718199</v>
      </c>
      <c r="L127">
        <v>1537.4986178484701</v>
      </c>
      <c r="M127">
        <v>884.43201176208004</v>
      </c>
      <c r="N127">
        <v>1095.9748171521901</v>
      </c>
      <c r="O127">
        <f t="shared" si="2"/>
        <v>7620.8907214160481</v>
      </c>
    </row>
    <row r="128" spans="1:15" x14ac:dyDescent="0.25">
      <c r="A128" s="2" t="s">
        <v>96</v>
      </c>
      <c r="B128" t="s">
        <v>10</v>
      </c>
      <c r="G128" t="s">
        <v>59</v>
      </c>
      <c r="H128">
        <v>660</v>
      </c>
      <c r="I128">
        <v>1680</v>
      </c>
      <c r="J128">
        <v>360</v>
      </c>
      <c r="K128">
        <v>1080</v>
      </c>
      <c r="L128">
        <v>1380</v>
      </c>
      <c r="M128">
        <v>600</v>
      </c>
      <c r="N128">
        <v>1440</v>
      </c>
      <c r="O128">
        <f t="shared" si="2"/>
        <v>7200</v>
      </c>
    </row>
    <row r="129" spans="1:15" x14ac:dyDescent="0.25">
      <c r="A129" s="2" t="s">
        <v>96</v>
      </c>
      <c r="B129" t="s">
        <v>12</v>
      </c>
      <c r="C129" t="s">
        <v>13</v>
      </c>
      <c r="D129">
        <v>296.26053684072389</v>
      </c>
      <c r="E129">
        <v>356.25712892085892</v>
      </c>
      <c r="F129">
        <v>67.848572106542051</v>
      </c>
      <c r="G129" t="s">
        <v>5</v>
      </c>
      <c r="H129">
        <v>59.121967721668902</v>
      </c>
      <c r="I129">
        <v>379.01234311393102</v>
      </c>
      <c r="J129">
        <v>0</v>
      </c>
      <c r="K129">
        <v>674.80072030954</v>
      </c>
      <c r="L129">
        <v>342.34066128731303</v>
      </c>
      <c r="M129">
        <v>1137.3093588803699</v>
      </c>
      <c r="N129">
        <v>662.73554414147202</v>
      </c>
      <c r="O129">
        <f t="shared" si="2"/>
        <v>3255.3205954542946</v>
      </c>
    </row>
    <row r="130" spans="1:15" x14ac:dyDescent="0.25">
      <c r="A130" s="2" t="s">
        <v>96</v>
      </c>
      <c r="B130" t="s">
        <v>12</v>
      </c>
      <c r="G130" t="s">
        <v>59</v>
      </c>
      <c r="H130">
        <v>240</v>
      </c>
      <c r="I130">
        <v>420</v>
      </c>
      <c r="J130">
        <v>0</v>
      </c>
      <c r="K130">
        <v>600</v>
      </c>
      <c r="L130">
        <v>660</v>
      </c>
      <c r="M130">
        <v>1260</v>
      </c>
      <c r="N130">
        <v>720</v>
      </c>
      <c r="O130">
        <f t="shared" si="2"/>
        <v>3900</v>
      </c>
    </row>
    <row r="131" spans="1:15" x14ac:dyDescent="0.25">
      <c r="A131" s="2" t="s">
        <v>96</v>
      </c>
      <c r="B131" t="s">
        <v>14</v>
      </c>
      <c r="C131" t="s">
        <v>15</v>
      </c>
      <c r="D131">
        <v>160.97657494077799</v>
      </c>
      <c r="E131">
        <v>194.897187182262</v>
      </c>
      <c r="F131">
        <v>51.351086734902431</v>
      </c>
      <c r="G131" t="s">
        <v>5</v>
      </c>
      <c r="H131">
        <v>299.79487092956401</v>
      </c>
      <c r="I131">
        <v>455.64083220376398</v>
      </c>
      <c r="J131">
        <v>335.97791189850301</v>
      </c>
      <c r="K131">
        <v>422.56818141431501</v>
      </c>
      <c r="L131">
        <v>509.819258978204</v>
      </c>
      <c r="M131">
        <v>543.92608275680698</v>
      </c>
      <c r="N131">
        <v>559.21971795077002</v>
      </c>
      <c r="O131">
        <f t="shared" si="2"/>
        <v>3126.9468561319272</v>
      </c>
    </row>
    <row r="132" spans="1:15" x14ac:dyDescent="0.25">
      <c r="A132" s="2" t="s">
        <v>96</v>
      </c>
      <c r="B132" t="s">
        <v>14</v>
      </c>
      <c r="G132" t="s">
        <v>59</v>
      </c>
      <c r="H132">
        <v>120</v>
      </c>
      <c r="I132">
        <v>540</v>
      </c>
      <c r="J132">
        <v>300</v>
      </c>
      <c r="K132">
        <v>600</v>
      </c>
      <c r="L132">
        <v>960</v>
      </c>
      <c r="M132">
        <v>480</v>
      </c>
      <c r="N132">
        <v>900</v>
      </c>
      <c r="O132">
        <f t="shared" si="2"/>
        <v>3900</v>
      </c>
    </row>
    <row r="133" spans="1:15" x14ac:dyDescent="0.25">
      <c r="A133" s="2" t="s">
        <v>96</v>
      </c>
      <c r="B133" t="s">
        <v>16</v>
      </c>
      <c r="C133" t="s">
        <v>17</v>
      </c>
      <c r="D133">
        <v>939.33386694631668</v>
      </c>
      <c r="E133">
        <v>1067.3594698468521</v>
      </c>
      <c r="F133">
        <v>115.81230879155331</v>
      </c>
      <c r="G133" t="s">
        <v>5</v>
      </c>
      <c r="H133">
        <v>1265.97509765625</v>
      </c>
      <c r="I133">
        <v>214.92283630371</v>
      </c>
      <c r="J133">
        <v>1984.00134277343</v>
      </c>
      <c r="K133">
        <v>2153.0087890625</v>
      </c>
      <c r="L133">
        <v>5744.81005859375</v>
      </c>
      <c r="M133">
        <v>754.112548828125</v>
      </c>
      <c r="N133">
        <v>2171.71069335937</v>
      </c>
      <c r="O133">
        <f t="shared" si="2"/>
        <v>14288.541366577136</v>
      </c>
    </row>
    <row r="134" spans="1:15" x14ac:dyDescent="0.25">
      <c r="A134" s="2" t="s">
        <v>96</v>
      </c>
      <c r="B134" t="s">
        <v>16</v>
      </c>
      <c r="G134" t="s">
        <v>59</v>
      </c>
      <c r="H134">
        <v>1800</v>
      </c>
      <c r="I134">
        <v>1200</v>
      </c>
      <c r="J134">
        <v>2040</v>
      </c>
      <c r="K134">
        <v>2040</v>
      </c>
      <c r="L134">
        <v>6840</v>
      </c>
      <c r="M134">
        <v>360</v>
      </c>
      <c r="N134">
        <v>1560</v>
      </c>
      <c r="O134">
        <f t="shared" si="2"/>
        <v>15840</v>
      </c>
    </row>
    <row r="135" spans="1:15" x14ac:dyDescent="0.25">
      <c r="A135" s="2" t="s">
        <v>96</v>
      </c>
      <c r="B135" t="s">
        <v>18</v>
      </c>
      <c r="C135" t="s">
        <v>19</v>
      </c>
      <c r="D135">
        <v>309.20839052124751</v>
      </c>
      <c r="E135">
        <v>357.36821809047171</v>
      </c>
      <c r="F135">
        <v>61.033661873628851</v>
      </c>
      <c r="G135" t="s">
        <v>5</v>
      </c>
      <c r="H135">
        <v>513.68316650390602</v>
      </c>
      <c r="I135">
        <v>533.84167480468705</v>
      </c>
      <c r="J135">
        <v>938.74566650390602</v>
      </c>
      <c r="K135">
        <v>1733.73266601562</v>
      </c>
      <c r="L135">
        <v>786.09271240234295</v>
      </c>
      <c r="M135">
        <v>1522.77160644531</v>
      </c>
      <c r="N135">
        <v>781.307373046875</v>
      </c>
      <c r="O135">
        <f t="shared" si="2"/>
        <v>6810.1748657226472</v>
      </c>
    </row>
    <row r="136" spans="1:15" x14ac:dyDescent="0.25">
      <c r="A136" s="2" t="s">
        <v>96</v>
      </c>
      <c r="B136" t="s">
        <v>18</v>
      </c>
      <c r="G136" t="s">
        <v>59</v>
      </c>
      <c r="H136">
        <v>600</v>
      </c>
      <c r="I136">
        <v>600</v>
      </c>
      <c r="J136">
        <v>840</v>
      </c>
      <c r="K136">
        <v>2040</v>
      </c>
      <c r="L136">
        <v>840</v>
      </c>
      <c r="M136">
        <v>1200</v>
      </c>
      <c r="N136">
        <v>840</v>
      </c>
      <c r="O136">
        <f t="shared" si="2"/>
        <v>6960</v>
      </c>
    </row>
    <row r="137" spans="1:15" x14ac:dyDescent="0.25">
      <c r="A137" s="2" t="s">
        <v>96</v>
      </c>
      <c r="B137" t="s">
        <v>20</v>
      </c>
      <c r="C137" t="s">
        <v>15</v>
      </c>
      <c r="D137">
        <v>661.29510376690723</v>
      </c>
      <c r="E137">
        <v>757.71701397042295</v>
      </c>
      <c r="F137">
        <v>76.278076053253443</v>
      </c>
      <c r="G137" t="s">
        <v>5</v>
      </c>
      <c r="H137">
        <v>4616.68994140625</v>
      </c>
      <c r="I137">
        <v>4640.21435546875</v>
      </c>
      <c r="J137">
        <v>4706.40771484375</v>
      </c>
      <c r="K137">
        <v>4741.896484375</v>
      </c>
      <c r="L137">
        <v>3885.73168945312</v>
      </c>
      <c r="M137">
        <v>4239.53173828125</v>
      </c>
      <c r="N137">
        <v>4325.58447265625</v>
      </c>
      <c r="O137">
        <f t="shared" si="2"/>
        <v>31156.056396484371</v>
      </c>
    </row>
    <row r="138" spans="1:15" x14ac:dyDescent="0.25">
      <c r="A138" s="2" t="s">
        <v>96</v>
      </c>
      <c r="B138" t="s">
        <v>20</v>
      </c>
      <c r="G138" t="s">
        <v>59</v>
      </c>
      <c r="H138">
        <v>4200</v>
      </c>
      <c r="I138">
        <v>6000</v>
      </c>
      <c r="J138">
        <v>0</v>
      </c>
      <c r="K138">
        <v>4800</v>
      </c>
      <c r="L138">
        <v>2250</v>
      </c>
      <c r="M138">
        <v>3450</v>
      </c>
      <c r="N138">
        <v>3900</v>
      </c>
      <c r="O138">
        <f t="shared" si="2"/>
        <v>24600</v>
      </c>
    </row>
    <row r="139" spans="1:15" x14ac:dyDescent="0.25">
      <c r="A139" s="2" t="s">
        <v>96</v>
      </c>
      <c r="B139" t="s">
        <v>21</v>
      </c>
      <c r="C139" t="s">
        <v>22</v>
      </c>
      <c r="D139">
        <v>2382.0891339504192</v>
      </c>
      <c r="E139">
        <v>2836.6794935983348</v>
      </c>
      <c r="F139">
        <v>30.805129351237031</v>
      </c>
      <c r="G139" t="s">
        <v>5</v>
      </c>
      <c r="H139">
        <v>15997.903107701501</v>
      </c>
      <c r="I139">
        <v>7112.3361385380304</v>
      </c>
      <c r="J139">
        <v>12217.924071215501</v>
      </c>
      <c r="K139">
        <v>10522.924894735501</v>
      </c>
      <c r="L139">
        <v>16414.1149167271</v>
      </c>
      <c r="M139">
        <v>6626.8424120322898</v>
      </c>
      <c r="N139">
        <v>15049.601797440801</v>
      </c>
      <c r="O139">
        <f t="shared" si="2"/>
        <v>83941.647338390729</v>
      </c>
    </row>
    <row r="140" spans="1:15" x14ac:dyDescent="0.25">
      <c r="A140" s="2" t="s">
        <v>96</v>
      </c>
      <c r="B140" t="s">
        <v>21</v>
      </c>
      <c r="G140" t="s">
        <v>59</v>
      </c>
      <c r="H140">
        <v>13800</v>
      </c>
      <c r="I140">
        <v>9000</v>
      </c>
      <c r="J140">
        <v>15600</v>
      </c>
      <c r="K140">
        <v>12671</v>
      </c>
      <c r="L140">
        <v>15600</v>
      </c>
      <c r="M140">
        <v>4200</v>
      </c>
      <c r="N140">
        <v>12000</v>
      </c>
      <c r="O140">
        <f t="shared" si="2"/>
        <v>82871</v>
      </c>
    </row>
    <row r="141" spans="1:15" x14ac:dyDescent="0.25">
      <c r="A141" s="2" t="s">
        <v>96</v>
      </c>
      <c r="B141" t="s">
        <v>23</v>
      </c>
      <c r="C141" t="s">
        <v>24</v>
      </c>
      <c r="D141">
        <v>612.43592702386366</v>
      </c>
      <c r="E141">
        <v>718.28157810713992</v>
      </c>
      <c r="F141">
        <v>66.867217029209598</v>
      </c>
      <c r="G141" t="s">
        <v>5</v>
      </c>
      <c r="H141">
        <v>2362.0030236900202</v>
      </c>
      <c r="I141">
        <v>2160.01460649917</v>
      </c>
      <c r="J141">
        <v>1985.00454249018</v>
      </c>
      <c r="K141">
        <v>1866.1844272141</v>
      </c>
      <c r="L141">
        <v>1495.4618151869399</v>
      </c>
      <c r="M141">
        <v>2210.5049605251702</v>
      </c>
      <c r="N141">
        <v>1719.8961414340399</v>
      </c>
      <c r="O141">
        <f t="shared" si="2"/>
        <v>13799.069517039619</v>
      </c>
    </row>
    <row r="142" spans="1:15" x14ac:dyDescent="0.25">
      <c r="A142" s="2" t="s">
        <v>96</v>
      </c>
      <c r="B142" t="s">
        <v>23</v>
      </c>
      <c r="G142" t="s">
        <v>59</v>
      </c>
      <c r="H142">
        <v>1680</v>
      </c>
      <c r="I142">
        <v>3120</v>
      </c>
      <c r="J142">
        <v>1800</v>
      </c>
      <c r="K142">
        <v>2760</v>
      </c>
      <c r="L142">
        <v>2760</v>
      </c>
      <c r="M142">
        <v>2040</v>
      </c>
      <c r="N142">
        <v>960</v>
      </c>
      <c r="O142">
        <f t="shared" si="2"/>
        <v>15120</v>
      </c>
    </row>
    <row r="143" spans="1:15" x14ac:dyDescent="0.25">
      <c r="A143" s="2" t="s">
        <v>96</v>
      </c>
      <c r="B143" t="s">
        <v>25</v>
      </c>
      <c r="C143" t="s">
        <v>26</v>
      </c>
      <c r="D143">
        <v>1539.8361297229981</v>
      </c>
      <c r="E143">
        <v>1748.0411359700061</v>
      </c>
      <c r="F143">
        <v>85.143736389780827</v>
      </c>
      <c r="G143" t="s">
        <v>5</v>
      </c>
      <c r="H143">
        <v>4350</v>
      </c>
      <c r="I143">
        <v>2010</v>
      </c>
      <c r="J143">
        <v>1860</v>
      </c>
      <c r="K143">
        <v>3480</v>
      </c>
      <c r="L143">
        <v>5100</v>
      </c>
      <c r="M143">
        <v>3900</v>
      </c>
      <c r="N143">
        <v>3255</v>
      </c>
      <c r="O143">
        <f t="shared" si="2"/>
        <v>23955</v>
      </c>
    </row>
    <row r="144" spans="1:15" x14ac:dyDescent="0.25">
      <c r="A144" s="2" t="s">
        <v>96</v>
      </c>
      <c r="B144" t="s">
        <v>25</v>
      </c>
      <c r="G144" t="s">
        <v>59</v>
      </c>
      <c r="H144">
        <v>8400</v>
      </c>
      <c r="I144">
        <v>240</v>
      </c>
      <c r="J144">
        <v>4200</v>
      </c>
      <c r="K144">
        <v>6240</v>
      </c>
      <c r="L144">
        <v>3240</v>
      </c>
      <c r="M144">
        <v>1200</v>
      </c>
      <c r="N144">
        <v>4200</v>
      </c>
      <c r="O144">
        <f t="shared" si="2"/>
        <v>27720</v>
      </c>
    </row>
    <row r="145" spans="1:15" x14ac:dyDescent="0.25">
      <c r="A145" s="2" t="s">
        <v>96</v>
      </c>
      <c r="B145" t="s">
        <v>28</v>
      </c>
      <c r="C145" t="s">
        <v>15</v>
      </c>
      <c r="D145">
        <v>4179.3864350094555</v>
      </c>
      <c r="E145">
        <v>4558.8898054449564</v>
      </c>
      <c r="F145">
        <v>110.2300068228071</v>
      </c>
      <c r="G145" t="s">
        <v>5</v>
      </c>
      <c r="H145">
        <v>20603.591743652101</v>
      </c>
      <c r="I145">
        <v>1925.32838398083</v>
      </c>
      <c r="J145">
        <v>7963.9648328716703</v>
      </c>
      <c r="K145">
        <v>13717.6532387435</v>
      </c>
      <c r="L145">
        <v>7801.81024984337</v>
      </c>
      <c r="M145">
        <v>6523.14940214529</v>
      </c>
      <c r="N145">
        <v>6065.56881729</v>
      </c>
      <c r="O145">
        <f t="shared" si="2"/>
        <v>64601.066668526764</v>
      </c>
    </row>
    <row r="146" spans="1:15" x14ac:dyDescent="0.25">
      <c r="A146" s="2" t="s">
        <v>96</v>
      </c>
      <c r="B146" t="s">
        <v>28</v>
      </c>
      <c r="G146" t="s">
        <v>59</v>
      </c>
      <c r="H146">
        <v>8400</v>
      </c>
      <c r="I146">
        <v>1800</v>
      </c>
      <c r="J146">
        <v>5400</v>
      </c>
      <c r="K146">
        <v>10800</v>
      </c>
      <c r="L146">
        <v>16800</v>
      </c>
      <c r="M146">
        <v>6360</v>
      </c>
      <c r="N146">
        <v>10800</v>
      </c>
      <c r="O146">
        <f t="shared" si="2"/>
        <v>60360</v>
      </c>
    </row>
    <row r="147" spans="1:15" x14ac:dyDescent="0.25">
      <c r="A147" s="2" t="s">
        <v>96</v>
      </c>
      <c r="B147" t="s">
        <v>29</v>
      </c>
      <c r="C147" t="s">
        <v>7</v>
      </c>
      <c r="D147">
        <v>813.81425760892671</v>
      </c>
      <c r="E147">
        <v>1042.018799645555</v>
      </c>
      <c r="F147">
        <v>47.058159602282373</v>
      </c>
      <c r="G147" t="s">
        <v>5</v>
      </c>
      <c r="H147">
        <v>4607.6328125</v>
      </c>
      <c r="I147">
        <v>3306.84155273437</v>
      </c>
      <c r="J147">
        <v>2118.6025390625</v>
      </c>
      <c r="K147">
        <v>4451.60986328125</v>
      </c>
      <c r="L147">
        <v>6878.49609375</v>
      </c>
      <c r="M147">
        <v>2469.4462890625</v>
      </c>
      <c r="N147">
        <v>2472.11303710937</v>
      </c>
      <c r="O147">
        <f t="shared" si="2"/>
        <v>26304.742187499989</v>
      </c>
    </row>
    <row r="148" spans="1:15" x14ac:dyDescent="0.25">
      <c r="A148" s="2" t="s">
        <v>96</v>
      </c>
      <c r="B148" t="s">
        <v>29</v>
      </c>
      <c r="G148" t="s">
        <v>59</v>
      </c>
      <c r="H148">
        <v>1800</v>
      </c>
      <c r="I148">
        <v>3840</v>
      </c>
      <c r="J148">
        <v>960</v>
      </c>
      <c r="K148">
        <v>4680</v>
      </c>
      <c r="L148">
        <v>13200</v>
      </c>
      <c r="M148">
        <v>1800</v>
      </c>
      <c r="N148">
        <v>4320</v>
      </c>
      <c r="O148">
        <f t="shared" si="2"/>
        <v>30600</v>
      </c>
    </row>
    <row r="149" spans="1:15" x14ac:dyDescent="0.25">
      <c r="A149" s="2" t="s">
        <v>96</v>
      </c>
      <c r="B149" t="s">
        <v>30</v>
      </c>
      <c r="C149" t="s">
        <v>31</v>
      </c>
      <c r="D149">
        <v>1415.177839323253</v>
      </c>
      <c r="E149">
        <v>1806.61819567406</v>
      </c>
      <c r="F149">
        <v>117.61892519584801</v>
      </c>
      <c r="G149" t="s">
        <v>5</v>
      </c>
      <c r="H149">
        <v>3116.6119789239701</v>
      </c>
      <c r="I149">
        <v>1823.15443227678</v>
      </c>
      <c r="J149">
        <v>1153.3182293623399</v>
      </c>
      <c r="K149">
        <v>4419.9290176676204</v>
      </c>
      <c r="L149">
        <v>5542.4764088645497</v>
      </c>
      <c r="M149">
        <v>5220.6738233263104</v>
      </c>
      <c r="N149">
        <v>2953.6122369241998</v>
      </c>
      <c r="O149">
        <f t="shared" si="2"/>
        <v>24229.776127345769</v>
      </c>
    </row>
    <row r="150" spans="1:15" x14ac:dyDescent="0.25">
      <c r="A150" s="2" t="s">
        <v>96</v>
      </c>
      <c r="B150" t="s">
        <v>30</v>
      </c>
      <c r="G150" t="s">
        <v>59</v>
      </c>
      <c r="H150">
        <v>3000</v>
      </c>
      <c r="I150">
        <v>840</v>
      </c>
      <c r="J150">
        <v>840</v>
      </c>
      <c r="K150">
        <v>5040</v>
      </c>
      <c r="L150">
        <v>6240</v>
      </c>
      <c r="M150">
        <v>6960</v>
      </c>
      <c r="N150">
        <v>2160</v>
      </c>
      <c r="O150">
        <f t="shared" si="2"/>
        <v>25080</v>
      </c>
    </row>
    <row r="151" spans="1:15" x14ac:dyDescent="0.25">
      <c r="A151" s="2" t="s">
        <v>96</v>
      </c>
      <c r="B151" t="s">
        <v>32</v>
      </c>
      <c r="C151" t="s">
        <v>13</v>
      </c>
      <c r="D151">
        <v>845.27351296227573</v>
      </c>
      <c r="E151">
        <v>1138.349998467146</v>
      </c>
      <c r="F151">
        <v>30.618483883451749</v>
      </c>
      <c r="G151" t="s">
        <v>5</v>
      </c>
      <c r="H151">
        <v>4913.2942858307097</v>
      </c>
      <c r="I151">
        <v>2474.0819305780001</v>
      </c>
      <c r="J151">
        <v>3221.7729473025302</v>
      </c>
      <c r="K151">
        <v>4265.1232506900596</v>
      </c>
      <c r="L151">
        <v>8085.6765504918003</v>
      </c>
      <c r="M151">
        <v>3074.7500358347402</v>
      </c>
      <c r="N151">
        <v>7854.0385704509199</v>
      </c>
      <c r="O151">
        <f t="shared" ref="O151:O158" si="3">SUM(H151:N151)</f>
        <v>33888.737571178754</v>
      </c>
    </row>
    <row r="152" spans="1:15" x14ac:dyDescent="0.25">
      <c r="A152" s="2" t="s">
        <v>96</v>
      </c>
      <c r="B152" t="s">
        <v>32</v>
      </c>
      <c r="G152" t="s">
        <v>59</v>
      </c>
      <c r="H152">
        <v>5160</v>
      </c>
      <c r="I152">
        <v>3720</v>
      </c>
      <c r="J152">
        <v>3000</v>
      </c>
      <c r="K152">
        <v>4800</v>
      </c>
      <c r="L152">
        <v>6720</v>
      </c>
      <c r="M152">
        <v>2400</v>
      </c>
      <c r="N152">
        <v>7800</v>
      </c>
      <c r="O152">
        <f t="shared" si="3"/>
        <v>33600</v>
      </c>
    </row>
    <row r="153" spans="1:15" x14ac:dyDescent="0.25">
      <c r="A153" s="2" t="s">
        <v>96</v>
      </c>
      <c r="B153" t="s">
        <v>33</v>
      </c>
      <c r="C153" t="s">
        <v>34</v>
      </c>
      <c r="D153">
        <v>1162.319049978976</v>
      </c>
      <c r="E153">
        <v>1413.76919906798</v>
      </c>
      <c r="F153">
        <v>47.450621527806177</v>
      </c>
      <c r="G153" t="s">
        <v>5</v>
      </c>
      <c r="H153">
        <v>3182.3999999999701</v>
      </c>
      <c r="I153">
        <v>3848.8888888889301</v>
      </c>
      <c r="J153">
        <v>3182.3999999999701</v>
      </c>
      <c r="K153">
        <v>4288</v>
      </c>
      <c r="L153">
        <v>3848.8888888889301</v>
      </c>
      <c r="M153">
        <v>4288</v>
      </c>
      <c r="N153">
        <v>6793.8461538461197</v>
      </c>
      <c r="O153">
        <f t="shared" si="3"/>
        <v>29432.423931623918</v>
      </c>
    </row>
    <row r="154" spans="1:15" x14ac:dyDescent="0.25">
      <c r="A154" s="2" t="s">
        <v>96</v>
      </c>
      <c r="B154" t="s">
        <v>33</v>
      </c>
      <c r="G154" t="s">
        <v>59</v>
      </c>
      <c r="H154">
        <v>1800</v>
      </c>
      <c r="I154">
        <v>7200</v>
      </c>
      <c r="J154">
        <v>2640</v>
      </c>
      <c r="K154">
        <v>6120</v>
      </c>
      <c r="L154">
        <v>5400</v>
      </c>
      <c r="M154">
        <v>1200</v>
      </c>
      <c r="N154">
        <v>4200</v>
      </c>
      <c r="O154">
        <f t="shared" si="3"/>
        <v>28560</v>
      </c>
    </row>
    <row r="155" spans="1:15" x14ac:dyDescent="0.25">
      <c r="A155" s="2" t="s">
        <v>96</v>
      </c>
      <c r="B155" t="s">
        <v>35</v>
      </c>
      <c r="C155" t="s">
        <v>36</v>
      </c>
      <c r="D155">
        <v>557.60455570700697</v>
      </c>
      <c r="E155">
        <v>646.23996810600215</v>
      </c>
      <c r="F155">
        <v>22.891942167841481</v>
      </c>
      <c r="G155" t="s">
        <v>5</v>
      </c>
      <c r="H155">
        <v>2753.9737866731198</v>
      </c>
      <c r="I155">
        <v>1613.5831747091599</v>
      </c>
      <c r="J155">
        <v>865.29997760859897</v>
      </c>
      <c r="K155">
        <v>2235.1541998644698</v>
      </c>
      <c r="L155">
        <v>3311.3172806868201</v>
      </c>
      <c r="M155">
        <v>2030.8182732297</v>
      </c>
      <c r="N155">
        <v>1721.2164629496799</v>
      </c>
      <c r="O155">
        <f t="shared" si="3"/>
        <v>14531.363155721549</v>
      </c>
    </row>
    <row r="156" spans="1:15" x14ac:dyDescent="0.25">
      <c r="A156" s="2" t="s">
        <v>96</v>
      </c>
      <c r="B156" t="s">
        <v>35</v>
      </c>
      <c r="G156" t="s">
        <v>59</v>
      </c>
      <c r="H156">
        <v>2520</v>
      </c>
      <c r="I156">
        <v>1200</v>
      </c>
      <c r="J156">
        <v>0</v>
      </c>
      <c r="K156">
        <v>2400</v>
      </c>
      <c r="L156">
        <v>4440</v>
      </c>
      <c r="M156">
        <v>1920</v>
      </c>
      <c r="N156">
        <v>1800</v>
      </c>
      <c r="O156">
        <f t="shared" si="3"/>
        <v>14280</v>
      </c>
    </row>
    <row r="157" spans="1:15" x14ac:dyDescent="0.25">
      <c r="A157" s="2" t="s">
        <v>96</v>
      </c>
      <c r="B157" t="s">
        <v>37</v>
      </c>
      <c r="C157" t="s">
        <v>17</v>
      </c>
      <c r="D157">
        <v>500.40376269578962</v>
      </c>
      <c r="E157">
        <v>585.18786845281022</v>
      </c>
      <c r="F157">
        <v>35.183391734850318</v>
      </c>
      <c r="G157" t="s">
        <v>5</v>
      </c>
      <c r="H157">
        <v>3171.8998645884099</v>
      </c>
      <c r="I157">
        <v>1725.37003410586</v>
      </c>
      <c r="J157">
        <v>1856.5599081862899</v>
      </c>
      <c r="K157">
        <v>2060.0678858031802</v>
      </c>
      <c r="L157">
        <v>1589.6633459730899</v>
      </c>
      <c r="M157">
        <v>2096.6911948144798</v>
      </c>
      <c r="N157">
        <v>1740.3323667540001</v>
      </c>
      <c r="O157">
        <f t="shared" si="3"/>
        <v>14240.584600225311</v>
      </c>
    </row>
    <row r="158" spans="1:15" x14ac:dyDescent="0.25">
      <c r="A158" s="2" t="s">
        <v>96</v>
      </c>
      <c r="B158" t="s">
        <v>37</v>
      </c>
      <c r="G158" t="s">
        <v>59</v>
      </c>
      <c r="H158">
        <v>3360</v>
      </c>
      <c r="I158">
        <v>1800</v>
      </c>
      <c r="J158">
        <v>1800</v>
      </c>
      <c r="K158">
        <v>2160</v>
      </c>
      <c r="L158">
        <v>3480</v>
      </c>
      <c r="M158">
        <v>1920</v>
      </c>
      <c r="N158">
        <v>1560</v>
      </c>
      <c r="O158">
        <f t="shared" si="3"/>
        <v>16080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3B6-4DD0-4B81-9439-256BF58A91CF}">
  <dimension ref="A1:L27"/>
  <sheetViews>
    <sheetView workbookViewId="0">
      <selection activeCell="H8" sqref="H8:I8"/>
    </sheetView>
  </sheetViews>
  <sheetFormatPr baseColWidth="10" defaultRowHeight="15" x14ac:dyDescent="0.25"/>
  <cols>
    <col min="2" max="2" width="12.140625" bestFit="1" customWidth="1"/>
    <col min="6" max="6" width="12" bestFit="1" customWidth="1"/>
  </cols>
  <sheetData>
    <row r="1" spans="1:12" x14ac:dyDescent="0.25">
      <c r="A1" s="1" t="s">
        <v>0</v>
      </c>
      <c r="B1" s="1" t="s">
        <v>67</v>
      </c>
      <c r="C1" s="1" t="s">
        <v>3</v>
      </c>
      <c r="D1" s="1" t="s">
        <v>2</v>
      </c>
      <c r="E1" s="1" t="s">
        <v>4</v>
      </c>
      <c r="F1" s="1" t="s">
        <v>68</v>
      </c>
    </row>
    <row r="2" spans="1:12" x14ac:dyDescent="0.25">
      <c r="A2" t="s">
        <v>6</v>
      </c>
      <c r="B2" t="s">
        <v>69</v>
      </c>
      <c r="C2">
        <v>3274.912277742098</v>
      </c>
      <c r="D2">
        <v>2838.8457651188792</v>
      </c>
      <c r="E2">
        <v>14.711003311930069</v>
      </c>
      <c r="F2">
        <v>10722.697736602</v>
      </c>
      <c r="G2">
        <v>19791.579510256499</v>
      </c>
      <c r="H2">
        <v>7896.4810645132602</v>
      </c>
      <c r="I2">
        <v>26674.5629564761</v>
      </c>
      <c r="J2">
        <v>22781.427169962401</v>
      </c>
      <c r="K2">
        <v>20655.848317415701</v>
      </c>
      <c r="L2">
        <v>15708.6419094548</v>
      </c>
    </row>
    <row r="3" spans="1:12" x14ac:dyDescent="0.25">
      <c r="A3" t="s">
        <v>8</v>
      </c>
      <c r="B3" t="s">
        <v>70</v>
      </c>
      <c r="C3">
        <v>328.39381543647983</v>
      </c>
      <c r="D3">
        <v>268.61976793651002</v>
      </c>
      <c r="E3">
        <v>20.004234590767961</v>
      </c>
      <c r="F3">
        <v>841.75929739517005</v>
      </c>
      <c r="G3">
        <v>977.85599506964002</v>
      </c>
      <c r="H3">
        <v>812.597139848751</v>
      </c>
      <c r="I3">
        <v>1330.5484574053601</v>
      </c>
      <c r="J3">
        <v>1308.2940500686</v>
      </c>
      <c r="K3">
        <v>516.89774187984494</v>
      </c>
      <c r="L3">
        <v>1511.70894277705</v>
      </c>
    </row>
    <row r="4" spans="1:12" x14ac:dyDescent="0.25">
      <c r="A4" t="s">
        <v>10</v>
      </c>
      <c r="B4" t="s">
        <v>71</v>
      </c>
      <c r="C4">
        <v>289.1029541609326</v>
      </c>
      <c r="D4">
        <v>251.06548416919239</v>
      </c>
      <c r="E4">
        <v>38.330892972775118</v>
      </c>
      <c r="F4">
        <v>970.47011124303799</v>
      </c>
      <c r="G4">
        <v>1272.61443443966</v>
      </c>
      <c r="H4">
        <v>799.07759034550895</v>
      </c>
      <c r="I4">
        <v>1215.3485033485799</v>
      </c>
      <c r="J4">
        <v>1344.52339609717</v>
      </c>
      <c r="K4">
        <v>909.77352726556705</v>
      </c>
      <c r="L4">
        <v>1559.9264875184799</v>
      </c>
    </row>
    <row r="5" spans="1:12" x14ac:dyDescent="0.25">
      <c r="A5" t="s">
        <v>12</v>
      </c>
      <c r="B5" t="s">
        <v>72</v>
      </c>
      <c r="C5">
        <v>334.23516575959042</v>
      </c>
      <c r="D5">
        <v>284.54470594414238</v>
      </c>
      <c r="E5">
        <v>42.33236976282187</v>
      </c>
      <c r="F5">
        <v>408.048053128422</v>
      </c>
      <c r="G5">
        <v>396.62440921065303</v>
      </c>
      <c r="H5">
        <v>398.961839220858</v>
      </c>
      <c r="I5">
        <v>399.00846552667099</v>
      </c>
      <c r="J5">
        <v>399.00939561329699</v>
      </c>
      <c r="K5">
        <v>399.009414166368</v>
      </c>
      <c r="L5">
        <v>399.009414536458</v>
      </c>
    </row>
    <row r="6" spans="1:12" x14ac:dyDescent="0.25">
      <c r="A6" t="s">
        <v>14</v>
      </c>
      <c r="B6" t="s">
        <v>73</v>
      </c>
      <c r="C6">
        <v>227.3766104095246</v>
      </c>
      <c r="D6">
        <v>193.27757775221991</v>
      </c>
      <c r="E6">
        <v>47.603364341875782</v>
      </c>
      <c r="F6">
        <v>316.80331104077601</v>
      </c>
      <c r="G6">
        <v>508.79055015352498</v>
      </c>
      <c r="H6">
        <v>219.51133679102099</v>
      </c>
      <c r="I6">
        <v>371.38288150705699</v>
      </c>
      <c r="J6">
        <v>581.12291560936796</v>
      </c>
      <c r="K6">
        <v>587.92573682277202</v>
      </c>
      <c r="L6">
        <v>570.97831953703599</v>
      </c>
    </row>
    <row r="7" spans="1:12" x14ac:dyDescent="0.25">
      <c r="A7" t="s">
        <v>16</v>
      </c>
      <c r="B7" t="s">
        <v>74</v>
      </c>
      <c r="C7">
        <v>1759.673900235364</v>
      </c>
      <c r="D7">
        <v>1351.032855740508</v>
      </c>
      <c r="E7">
        <v>105.2191632676511</v>
      </c>
      <c r="F7">
        <v>3070.4431056429198</v>
      </c>
      <c r="G7">
        <v>1479.97336190849</v>
      </c>
      <c r="H7">
        <v>630.78046630955203</v>
      </c>
      <c r="I7">
        <v>999.005347907025</v>
      </c>
      <c r="J7">
        <v>3002.16759892959</v>
      </c>
      <c r="K7">
        <v>2035.0564440385101</v>
      </c>
      <c r="L7">
        <v>1585.6524284178799</v>
      </c>
    </row>
    <row r="8" spans="1:12" x14ac:dyDescent="0.25">
      <c r="A8" t="s">
        <v>18</v>
      </c>
      <c r="B8" t="s">
        <v>75</v>
      </c>
      <c r="C8">
        <v>283.9996866413552</v>
      </c>
      <c r="D8">
        <v>250.36002610685941</v>
      </c>
      <c r="E8">
        <v>27.59347678905311</v>
      </c>
      <c r="F8">
        <v>380.308519724002</v>
      </c>
      <c r="G8">
        <v>386.88081683658601</v>
      </c>
      <c r="H8">
        <v>947.95082586298304</v>
      </c>
      <c r="I8">
        <v>1559.47398933677</v>
      </c>
      <c r="J8">
        <v>464.16648329166702</v>
      </c>
      <c r="K8">
        <v>1268.2855123793199</v>
      </c>
      <c r="L8">
        <v>552.88634630525598</v>
      </c>
    </row>
    <row r="9" spans="1:12" x14ac:dyDescent="0.25">
      <c r="A9" t="s">
        <v>20</v>
      </c>
      <c r="B9" t="s">
        <v>76</v>
      </c>
      <c r="C9">
        <v>972.93094414670577</v>
      </c>
      <c r="D9">
        <v>696.83241360309398</v>
      </c>
      <c r="E9">
        <v>34.653231074587069</v>
      </c>
      <c r="F9">
        <v>4351.6140562682403</v>
      </c>
      <c r="G9">
        <v>4316.3518520396101</v>
      </c>
      <c r="H9">
        <v>0</v>
      </c>
      <c r="I9">
        <v>4570.6985667250501</v>
      </c>
      <c r="J9">
        <v>4057.5515017456</v>
      </c>
      <c r="K9">
        <v>3932.3826945113401</v>
      </c>
      <c r="L9">
        <v>4360.4774457350904</v>
      </c>
    </row>
    <row r="10" spans="1:12" x14ac:dyDescent="0.25">
      <c r="A10" t="s">
        <v>21</v>
      </c>
      <c r="B10" t="s">
        <v>77</v>
      </c>
      <c r="C10">
        <v>4692.5961745531058</v>
      </c>
      <c r="D10">
        <v>3966.583286869793</v>
      </c>
      <c r="E10">
        <v>50.989269545520287</v>
      </c>
      <c r="F10">
        <v>16727.3420254142</v>
      </c>
      <c r="G10">
        <v>13113.505666532101</v>
      </c>
      <c r="H10">
        <v>12771.113541106701</v>
      </c>
      <c r="I10">
        <v>13427.067535160601</v>
      </c>
      <c r="J10">
        <v>21865.395893661698</v>
      </c>
      <c r="K10">
        <v>12930.766479014999</v>
      </c>
      <c r="L10">
        <v>14144.118949411401</v>
      </c>
    </row>
    <row r="11" spans="1:12" x14ac:dyDescent="0.25">
      <c r="A11" t="s">
        <v>23</v>
      </c>
      <c r="B11" t="s">
        <v>78</v>
      </c>
      <c r="C11">
        <v>696.8842539251059</v>
      </c>
      <c r="D11">
        <v>539.13759457934282</v>
      </c>
      <c r="E11">
        <v>28.81453344400591</v>
      </c>
      <c r="F11">
        <v>2130.4072473481101</v>
      </c>
      <c r="G11">
        <v>1712.657809197</v>
      </c>
      <c r="H11">
        <v>1786.61872463392</v>
      </c>
      <c r="I11">
        <v>2197.8637645470999</v>
      </c>
      <c r="J11">
        <v>2385.4525891591402</v>
      </c>
      <c r="K11">
        <v>2140.4053598104101</v>
      </c>
      <c r="L11">
        <v>1825.7434424340499</v>
      </c>
    </row>
    <row r="12" spans="1:12" x14ac:dyDescent="0.25">
      <c r="A12" t="s">
        <v>25</v>
      </c>
      <c r="B12" t="s">
        <v>79</v>
      </c>
      <c r="C12">
        <v>3140.372051758121</v>
      </c>
      <c r="D12">
        <v>2531.199324910177</v>
      </c>
      <c r="E12">
        <v>59.802440517136198</v>
      </c>
      <c r="F12">
        <v>3110.0871807562899</v>
      </c>
      <c r="G12">
        <v>123.60083887450099</v>
      </c>
      <c r="H12">
        <v>389.32404120937099</v>
      </c>
      <c r="I12">
        <v>1335.8989020167201</v>
      </c>
      <c r="J12">
        <v>2383.6359294397898</v>
      </c>
      <c r="K12">
        <v>863.22867278199703</v>
      </c>
      <c r="L12">
        <v>386.963579909911</v>
      </c>
    </row>
    <row r="13" spans="1:12" x14ac:dyDescent="0.25">
      <c r="A13" t="s">
        <v>27</v>
      </c>
      <c r="B13" t="s">
        <v>80</v>
      </c>
      <c r="C13">
        <v>1764.545580269533</v>
      </c>
      <c r="D13">
        <v>1555.770178221579</v>
      </c>
      <c r="E13">
        <v>36.275683955221147</v>
      </c>
      <c r="F13">
        <v>4085.81386897017</v>
      </c>
      <c r="G13">
        <v>4836.60267704743</v>
      </c>
      <c r="H13">
        <v>3246.7817154323002</v>
      </c>
      <c r="I13">
        <v>5096.2826331039596</v>
      </c>
      <c r="J13">
        <v>4387.6528222975803</v>
      </c>
      <c r="K13">
        <v>4136.2052078321904</v>
      </c>
      <c r="L13">
        <v>4332.0141119751497</v>
      </c>
    </row>
    <row r="14" spans="1:12" x14ac:dyDescent="0.25">
      <c r="A14" t="s">
        <v>28</v>
      </c>
      <c r="B14" t="s">
        <v>81</v>
      </c>
      <c r="C14">
        <v>13968.041753668431</v>
      </c>
      <c r="D14">
        <v>13267.114809560269</v>
      </c>
      <c r="E14">
        <v>221.12624747691299</v>
      </c>
      <c r="F14">
        <v>16788.946923762302</v>
      </c>
      <c r="G14">
        <v>11673.2821112398</v>
      </c>
      <c r="H14">
        <v>16986.195767990899</v>
      </c>
      <c r="I14">
        <v>23660.922577368099</v>
      </c>
      <c r="J14">
        <v>27237.4065195281</v>
      </c>
      <c r="K14">
        <v>27377.365474430298</v>
      </c>
      <c r="L14">
        <v>29362.436186621399</v>
      </c>
    </row>
    <row r="15" spans="1:12" x14ac:dyDescent="0.25">
      <c r="A15" t="s">
        <v>29</v>
      </c>
      <c r="B15" t="s">
        <v>82</v>
      </c>
      <c r="C15">
        <v>867.79263208854752</v>
      </c>
      <c r="D15">
        <v>712.2549009247856</v>
      </c>
      <c r="E15">
        <v>40.998046794441663</v>
      </c>
      <c r="F15">
        <v>3209.1989594593001</v>
      </c>
      <c r="G15">
        <v>4301.5601992032398</v>
      </c>
      <c r="H15">
        <v>2307.3166967923698</v>
      </c>
      <c r="I15">
        <v>4711.0689773809399</v>
      </c>
      <c r="J15">
        <v>7662.2027320242996</v>
      </c>
      <c r="K15">
        <v>2559.5007251820998</v>
      </c>
      <c r="L15">
        <v>4149.3141422454</v>
      </c>
    </row>
    <row r="16" spans="1:12" x14ac:dyDescent="0.25">
      <c r="A16" t="s">
        <v>30</v>
      </c>
      <c r="B16" t="s">
        <v>83</v>
      </c>
      <c r="C16">
        <v>1140.1032425769399</v>
      </c>
      <c r="D16">
        <v>881.94174325777408</v>
      </c>
      <c r="E16">
        <v>35.397888471524368</v>
      </c>
      <c r="F16">
        <v>3739.0456511104899</v>
      </c>
      <c r="G16">
        <v>1988.9131940145101</v>
      </c>
      <c r="H16">
        <v>886.61416951315005</v>
      </c>
      <c r="I16">
        <v>4433.3913214026297</v>
      </c>
      <c r="J16">
        <v>5448.0240081053598</v>
      </c>
      <c r="K16">
        <v>3875.8068058239</v>
      </c>
      <c r="L16">
        <v>2531.11031522962</v>
      </c>
    </row>
    <row r="17" spans="1:12" x14ac:dyDescent="0.25">
      <c r="A17" t="s">
        <v>32</v>
      </c>
      <c r="B17" t="s">
        <v>84</v>
      </c>
      <c r="C17">
        <v>1123.9670824839529</v>
      </c>
      <c r="D17">
        <v>974.52902364106717</v>
      </c>
      <c r="E17">
        <v>20.401037709047461</v>
      </c>
      <c r="F17">
        <v>4599.7134224892898</v>
      </c>
      <c r="G17">
        <v>5213.8235617282498</v>
      </c>
      <c r="H17">
        <v>3438.5872082901501</v>
      </c>
      <c r="I17">
        <v>6328.8484376619699</v>
      </c>
      <c r="J17">
        <v>5955.0096999403904</v>
      </c>
      <c r="K17">
        <v>2672.0014960088702</v>
      </c>
      <c r="L17">
        <v>6036.8344157721003</v>
      </c>
    </row>
    <row r="18" spans="1:12" x14ac:dyDescent="0.25">
      <c r="A18" t="s">
        <v>33</v>
      </c>
      <c r="B18" t="s">
        <v>85</v>
      </c>
      <c r="C18">
        <v>1964.0702332664259</v>
      </c>
      <c r="D18">
        <v>1732.536029364453</v>
      </c>
      <c r="E18">
        <v>44.543985153393201</v>
      </c>
      <c r="F18">
        <v>2631.9087135534601</v>
      </c>
      <c r="G18">
        <v>3563.9982437488102</v>
      </c>
      <c r="H18">
        <v>1441.83849299489</v>
      </c>
      <c r="I18">
        <v>4061.58255038985</v>
      </c>
      <c r="J18">
        <v>3342.2907138660398</v>
      </c>
      <c r="K18">
        <v>1907.60430801556</v>
      </c>
      <c r="L18">
        <v>5837.9491849817396</v>
      </c>
    </row>
    <row r="19" spans="1:12" x14ac:dyDescent="0.25">
      <c r="A19" t="s">
        <v>35</v>
      </c>
      <c r="B19" t="s">
        <v>86</v>
      </c>
      <c r="C19">
        <v>663.54847954994648</v>
      </c>
      <c r="D19">
        <v>603.99884480345213</v>
      </c>
      <c r="E19">
        <v>26.731737586680179</v>
      </c>
      <c r="F19">
        <v>2773.24435791414</v>
      </c>
      <c r="G19">
        <v>1823.0179671124599</v>
      </c>
      <c r="H19">
        <v>851.52991065557296</v>
      </c>
      <c r="I19">
        <v>1926.0854804303599</v>
      </c>
      <c r="J19">
        <v>2588.1587316405598</v>
      </c>
      <c r="K19">
        <v>1491.5651878651299</v>
      </c>
      <c r="L19">
        <v>2267.2818500317399</v>
      </c>
    </row>
    <row r="20" spans="1:12" x14ac:dyDescent="0.25">
      <c r="A20" t="s">
        <v>37</v>
      </c>
      <c r="B20" t="s">
        <v>87</v>
      </c>
      <c r="C20">
        <v>868.61141082303857</v>
      </c>
      <c r="D20">
        <v>591.38833626509143</v>
      </c>
      <c r="E20">
        <v>21.28754433742413</v>
      </c>
      <c r="F20">
        <v>1788.6081567574299</v>
      </c>
      <c r="G20">
        <v>2164.1339785426599</v>
      </c>
      <c r="H20">
        <v>1850.0780813180399</v>
      </c>
      <c r="I20">
        <v>2112.7260827595201</v>
      </c>
      <c r="J20">
        <v>1893.0710045685701</v>
      </c>
      <c r="K20">
        <v>2076.7706828843202</v>
      </c>
      <c r="L20">
        <v>1923.1408551961399</v>
      </c>
    </row>
    <row r="21" spans="1:12" x14ac:dyDescent="0.25">
      <c r="A21" t="s">
        <v>38</v>
      </c>
      <c r="B21" t="s">
        <v>88</v>
      </c>
      <c r="C21">
        <v>5310.2300945464094</v>
      </c>
      <c r="D21">
        <v>4803.3002233077586</v>
      </c>
      <c r="E21">
        <v>47.621484981672268</v>
      </c>
      <c r="F21">
        <v>14746.6675137404</v>
      </c>
      <c r="G21">
        <v>13473.321197925399</v>
      </c>
      <c r="H21">
        <v>14330.2552756321</v>
      </c>
      <c r="I21">
        <v>13622.459707747699</v>
      </c>
      <c r="J21">
        <v>14199.6973578982</v>
      </c>
      <c r="K21">
        <v>13728.5972429414</v>
      </c>
      <c r="L21">
        <v>14113.0597944117</v>
      </c>
    </row>
    <row r="22" spans="1:12" x14ac:dyDescent="0.25">
      <c r="A22" t="s">
        <v>40</v>
      </c>
      <c r="B22" t="s">
        <v>88</v>
      </c>
      <c r="C22">
        <v>1195.5146259272269</v>
      </c>
      <c r="D22">
        <v>969.67772398488455</v>
      </c>
      <c r="E22">
        <v>26.008034290281721</v>
      </c>
      <c r="F22">
        <v>5332.2711770363203</v>
      </c>
      <c r="G22">
        <v>5327.4007377220896</v>
      </c>
      <c r="H22">
        <v>5357.7884608918403</v>
      </c>
      <c r="I22">
        <v>5331.7388730472403</v>
      </c>
      <c r="J22">
        <v>5353.0418270692799</v>
      </c>
      <c r="K22">
        <v>5335.6676098291</v>
      </c>
      <c r="L22">
        <v>5349.8353822982899</v>
      </c>
    </row>
    <row r="23" spans="1:12" x14ac:dyDescent="0.25">
      <c r="A23" t="s">
        <v>41</v>
      </c>
      <c r="B23" t="s">
        <v>89</v>
      </c>
      <c r="C23">
        <v>2251.7032153835862</v>
      </c>
      <c r="D23">
        <v>1508.831995299819</v>
      </c>
      <c r="E23">
        <v>9.2714394474265447</v>
      </c>
      <c r="F23">
        <v>12218.277785727199</v>
      </c>
      <c r="G23">
        <v>17132.901454933701</v>
      </c>
      <c r="H23">
        <v>9528.1508725311196</v>
      </c>
      <c r="I23">
        <v>15421.173530997399</v>
      </c>
      <c r="J23">
        <v>12246.892034079099</v>
      </c>
      <c r="K23">
        <v>15673.6204834861</v>
      </c>
      <c r="L23">
        <v>14552.364249658</v>
      </c>
    </row>
    <row r="24" spans="1:12" x14ac:dyDescent="0.25">
      <c r="A24" t="s">
        <v>43</v>
      </c>
      <c r="B24" t="s">
        <v>74</v>
      </c>
      <c r="C24">
        <v>677.52355999189626</v>
      </c>
      <c r="D24">
        <v>528.40951134145098</v>
      </c>
      <c r="E24">
        <v>15.90141872334303</v>
      </c>
      <c r="F24">
        <v>2556.4320995406001</v>
      </c>
      <c r="G24">
        <v>3284.7062317079299</v>
      </c>
      <c r="H24">
        <v>1467.3869010185499</v>
      </c>
      <c r="I24">
        <v>3114.4005369061802</v>
      </c>
      <c r="J24">
        <v>2242.1599360691498</v>
      </c>
      <c r="K24">
        <v>2032.6654823399899</v>
      </c>
      <c r="L24">
        <v>2453.3822330273902</v>
      </c>
    </row>
    <row r="25" spans="1:12" x14ac:dyDescent="0.25">
      <c r="A25" t="s">
        <v>45</v>
      </c>
      <c r="B25" t="s">
        <v>90</v>
      </c>
      <c r="C25">
        <v>4719.5459539102822</v>
      </c>
      <c r="D25">
        <v>4067.5967099019872</v>
      </c>
      <c r="E25">
        <v>80.832912238346026</v>
      </c>
      <c r="F25">
        <v>9923.9196838050793</v>
      </c>
      <c r="G25">
        <v>9901.4516734405006</v>
      </c>
      <c r="H25">
        <v>9901.4516734405006</v>
      </c>
      <c r="I25">
        <v>9901.4516734405006</v>
      </c>
      <c r="J25">
        <v>9901.4516734405006</v>
      </c>
      <c r="K25">
        <v>9901.4516734405006</v>
      </c>
      <c r="L25">
        <v>9901.4516734405006</v>
      </c>
    </row>
    <row r="26" spans="1:12" x14ac:dyDescent="0.25">
      <c r="A26" t="s">
        <v>47</v>
      </c>
      <c r="B26" t="s">
        <v>91</v>
      </c>
      <c r="C26">
        <v>1485.2448740268901</v>
      </c>
      <c r="D26">
        <v>1144.990825185982</v>
      </c>
      <c r="E26">
        <v>152.9945412176032</v>
      </c>
      <c r="F26">
        <v>1632.7646932745599</v>
      </c>
      <c r="G26">
        <v>0</v>
      </c>
      <c r="H26">
        <v>0</v>
      </c>
      <c r="I26">
        <v>0</v>
      </c>
      <c r="J26">
        <v>1391.49927931407</v>
      </c>
      <c r="K26">
        <v>793.22635394681504</v>
      </c>
      <c r="L26">
        <v>0</v>
      </c>
    </row>
    <row r="27" spans="1:12" x14ac:dyDescent="0.25">
      <c r="A27" t="s">
        <v>49</v>
      </c>
      <c r="B27" t="s">
        <v>92</v>
      </c>
      <c r="C27">
        <v>954.62503621627582</v>
      </c>
      <c r="D27">
        <v>793.16188827308099</v>
      </c>
      <c r="E27">
        <v>266.84791486375798</v>
      </c>
      <c r="F27">
        <v>1509.1085700966501</v>
      </c>
      <c r="G27">
        <v>1532.0610623723901</v>
      </c>
      <c r="H27">
        <v>1409.4255378264399</v>
      </c>
      <c r="I27">
        <v>2022.16131532073</v>
      </c>
      <c r="J27">
        <v>1582.1885695108599</v>
      </c>
      <c r="K27">
        <v>1834.2152136776899</v>
      </c>
      <c r="L27">
        <v>1615.5037847598001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73359B8-CC6E-41EF-8FD7-6E7DC6F3C30F}">
  <ds:schemaRefs/>
</ds:datastoreItem>
</file>

<file path=customXml/itemProps2.xml><?xml version="1.0" encoding="utf-8"?>
<ds:datastoreItem xmlns:ds="http://schemas.openxmlformats.org/officeDocument/2006/customXml" ds:itemID="{F7637ACF-3239-4DCD-830B-C29E56C08056}">
  <ds:schemaRefs/>
</ds:datastoreItem>
</file>

<file path=customXml/itemProps3.xml><?xml version="1.0" encoding="utf-8"?>
<ds:datastoreItem xmlns:ds="http://schemas.openxmlformats.org/officeDocument/2006/customXml" ds:itemID="{80F46845-9EE4-4C14-8CEE-B2C153F7D146}">
  <ds:schemaRefs/>
</ds:datastoreItem>
</file>

<file path=customXml/itemProps4.xml><?xml version="1.0" encoding="utf-8"?>
<ds:datastoreItem xmlns:ds="http://schemas.openxmlformats.org/officeDocument/2006/customXml" ds:itemID="{457BB523-C578-4C70-94A0-F6DDA996EAA7}">
  <ds:schemaRefs/>
</ds:datastoreItem>
</file>

<file path=customXml/itemProps5.xml><?xml version="1.0" encoding="utf-8"?>
<ds:datastoreItem xmlns:ds="http://schemas.openxmlformats.org/officeDocument/2006/customXml" ds:itemID="{83480261-0343-43FF-B522-5F95E5A49444}">
  <ds:schemaRefs/>
</ds:datastoreItem>
</file>

<file path=customXml/itemProps6.xml><?xml version="1.0" encoding="utf-8"?>
<ds:datastoreItem xmlns:ds="http://schemas.openxmlformats.org/officeDocument/2006/customXml" ds:itemID="{74657136-4BA3-45B5-9F5D-A7236D053D03}">
  <ds:schemaRefs/>
</ds:datastoreItem>
</file>

<file path=customXml/itemProps7.xml><?xml version="1.0" encoding="utf-8"?>
<ds:datastoreItem xmlns:ds="http://schemas.openxmlformats.org/officeDocument/2006/customXml" ds:itemID="{D33C3EF4-C9A0-4670-B44D-15BC7E8A9EED}">
  <ds:schemaRefs/>
</ds:datastoreItem>
</file>

<file path=customXml/itemProps8.xml><?xml version="1.0" encoding="utf-8"?>
<ds:datastoreItem xmlns:ds="http://schemas.openxmlformats.org/officeDocument/2006/customXml" ds:itemID="{38397E51-AF97-4CD6-92A2-2F8D069D3E08}">
  <ds:schemaRefs/>
</ds:datastoreItem>
</file>

<file path=customXml/itemProps9.xml><?xml version="1.0" encoding="utf-8"?>
<ds:datastoreItem xmlns:ds="http://schemas.openxmlformats.org/officeDocument/2006/customXml" ds:itemID="{14B7B712-0663-4450-9B8E-AD499730FFA8}">
  <ds:schemaRefs/>
</ds:datastoreItem>
</file>

<file path=customXml/itemProps10.xml><?xml version="1.0" encoding="utf-8"?>
<ds:datastoreItem xmlns:ds="http://schemas.openxmlformats.org/officeDocument/2006/customXml" ds:itemID="{DDE7201D-CBEE-4941-847E-5E09DFE55219}">
  <ds:schemaRefs/>
</ds:datastoreItem>
</file>

<file path=customXml/itemProps11.xml><?xml version="1.0" encoding="utf-8"?>
<ds:datastoreItem xmlns:ds="http://schemas.openxmlformats.org/officeDocument/2006/customXml" ds:itemID="{FE7CC479-DC22-4634-BA16-32D9A1755A64}">
  <ds:schemaRefs/>
</ds:datastoreItem>
</file>

<file path=customXml/itemProps12.xml><?xml version="1.0" encoding="utf-8"?>
<ds:datastoreItem xmlns:ds="http://schemas.openxmlformats.org/officeDocument/2006/customXml" ds:itemID="{806BDB6F-4839-4D55-8540-1C04BFD24F9B}">
  <ds:schemaRefs/>
</ds:datastoreItem>
</file>

<file path=customXml/itemProps13.xml><?xml version="1.0" encoding="utf-8"?>
<ds:datastoreItem xmlns:ds="http://schemas.openxmlformats.org/officeDocument/2006/customXml" ds:itemID="{28F2A2D0-508C-4007-AA7B-BA973307D253}">
  <ds:schemaRefs/>
</ds:datastoreItem>
</file>

<file path=customXml/itemProps14.xml><?xml version="1.0" encoding="utf-8"?>
<ds:datastoreItem xmlns:ds="http://schemas.openxmlformats.org/officeDocument/2006/customXml" ds:itemID="{25C07120-F60F-41C5-8848-2712264D18C3}">
  <ds:schemaRefs/>
</ds:datastoreItem>
</file>

<file path=customXml/itemProps15.xml><?xml version="1.0" encoding="utf-8"?>
<ds:datastoreItem xmlns:ds="http://schemas.openxmlformats.org/officeDocument/2006/customXml" ds:itemID="{CA0A201E-EB0B-482A-8729-0820DE0F1192}">
  <ds:schemaRefs/>
</ds:datastoreItem>
</file>

<file path=customXml/itemProps16.xml><?xml version="1.0" encoding="utf-8"?>
<ds:datastoreItem xmlns:ds="http://schemas.openxmlformats.org/officeDocument/2006/customXml" ds:itemID="{C86FEBF5-687A-4C07-878A-3329454F5B1C}">
  <ds:schemaRefs/>
</ds:datastoreItem>
</file>

<file path=customXml/itemProps17.xml><?xml version="1.0" encoding="utf-8"?>
<ds:datastoreItem xmlns:ds="http://schemas.openxmlformats.org/officeDocument/2006/customXml" ds:itemID="{334C172A-8370-4F76-A6E0-D7E0C18D512D}">
  <ds:schemaRefs/>
</ds:datastoreItem>
</file>

<file path=customXml/itemProps18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Resumen</vt:lpstr>
      <vt:lpstr>pivot table 2</vt:lpstr>
      <vt:lpstr>pivot table</vt:lpstr>
      <vt:lpstr>transformed data</vt:lpstr>
      <vt:lpstr>raw 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2025-06-25T02:43:21Z</dcterms:modified>
</cp:coreProperties>
</file>