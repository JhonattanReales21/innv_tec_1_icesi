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output\"/>
    </mc:Choice>
  </mc:AlternateContent>
  <xr:revisionPtr revIDLastSave="0" documentId="13_ncr:1_{CE4828CB-C7E5-479F-A4C3-7F4C0CA91022}" xr6:coauthVersionLast="47" xr6:coauthVersionMax="47" xr10:uidLastSave="{00000000-0000-0000-0000-000000000000}"/>
  <bookViews>
    <workbookView xWindow="-120" yWindow="-120" windowWidth="38640" windowHeight="15720" xr2:uid="{E5658DFA-635C-4AD7-BC6C-8D92FFF90877}"/>
  </bookViews>
  <sheets>
    <sheet name="pivot table" sheetId="3" r:id="rId1"/>
    <sheet name="transformed data" sheetId="1" r:id="rId2"/>
    <sheet name="raw data results" sheetId="5" r:id="rId3"/>
  </sheets>
  <definedNames>
    <definedName name="_xlnm._FilterDatabase" localSheetId="1" hidden="1">'transformed data'!$A$2:$O$54</definedName>
    <definedName name="SegmentaciónDeDatos_SKU">#N/A</definedName>
  </definedNames>
  <calcPr calcId="191029"/>
  <pivotCaches>
    <pivotCache cacheId="0" r:id="rId4"/>
  </pivotCaches>
  <extLst>
    <ext xmlns:x14="http://schemas.microsoft.com/office/spreadsheetml/2009/9/main" uri="{876F7934-8845-4945-9796-88D515C7AA90}">
      <x14:pivotCaches>
        <pivotCache cacheId="1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1dd60aef-bd07-462e-836c-57ec6f286629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M53" i="1"/>
  <c r="L53" i="1"/>
  <c r="K53" i="1"/>
  <c r="J53" i="1"/>
  <c r="I53" i="1"/>
  <c r="H53" i="1"/>
  <c r="N51" i="1"/>
  <c r="M51" i="1"/>
  <c r="L51" i="1"/>
  <c r="K51" i="1"/>
  <c r="J51" i="1"/>
  <c r="I51" i="1"/>
  <c r="H51" i="1"/>
  <c r="N49" i="1"/>
  <c r="M49" i="1"/>
  <c r="L49" i="1"/>
  <c r="K49" i="1"/>
  <c r="J49" i="1"/>
  <c r="I49" i="1"/>
  <c r="H49" i="1"/>
  <c r="N47" i="1"/>
  <c r="M47" i="1"/>
  <c r="L47" i="1"/>
  <c r="K47" i="1"/>
  <c r="J47" i="1"/>
  <c r="I47" i="1"/>
  <c r="H47" i="1"/>
  <c r="N45" i="1"/>
  <c r="M45" i="1"/>
  <c r="L45" i="1"/>
  <c r="K45" i="1"/>
  <c r="J45" i="1"/>
  <c r="I45" i="1"/>
  <c r="H45" i="1"/>
  <c r="N43" i="1"/>
  <c r="M43" i="1"/>
  <c r="L43" i="1"/>
  <c r="K43" i="1"/>
  <c r="J43" i="1"/>
  <c r="I43" i="1"/>
  <c r="H43" i="1"/>
  <c r="N41" i="1"/>
  <c r="M41" i="1"/>
  <c r="L41" i="1"/>
  <c r="K41" i="1"/>
  <c r="J41" i="1"/>
  <c r="I41" i="1"/>
  <c r="H41" i="1"/>
  <c r="N39" i="1"/>
  <c r="M39" i="1"/>
  <c r="L39" i="1"/>
  <c r="K39" i="1"/>
  <c r="J39" i="1"/>
  <c r="I39" i="1"/>
  <c r="H39" i="1"/>
  <c r="N37" i="1"/>
  <c r="M37" i="1"/>
  <c r="L37" i="1"/>
  <c r="K37" i="1"/>
  <c r="J37" i="1"/>
  <c r="I37" i="1"/>
  <c r="H37" i="1"/>
  <c r="N35" i="1"/>
  <c r="M35" i="1"/>
  <c r="L35" i="1"/>
  <c r="K35" i="1"/>
  <c r="J35" i="1"/>
  <c r="I35" i="1"/>
  <c r="H35" i="1"/>
  <c r="N33" i="1"/>
  <c r="M33" i="1"/>
  <c r="L33" i="1"/>
  <c r="K33" i="1"/>
  <c r="J33" i="1"/>
  <c r="I33" i="1"/>
  <c r="H33" i="1"/>
  <c r="N31" i="1"/>
  <c r="M31" i="1"/>
  <c r="L31" i="1"/>
  <c r="K31" i="1"/>
  <c r="J31" i="1"/>
  <c r="I31" i="1"/>
  <c r="H31" i="1"/>
  <c r="N29" i="1"/>
  <c r="M29" i="1"/>
  <c r="L29" i="1"/>
  <c r="K29" i="1"/>
  <c r="J29" i="1"/>
  <c r="I29" i="1"/>
  <c r="H29" i="1"/>
  <c r="N27" i="1"/>
  <c r="M27" i="1"/>
  <c r="L27" i="1"/>
  <c r="K27" i="1"/>
  <c r="J27" i="1"/>
  <c r="I27" i="1"/>
  <c r="H27" i="1"/>
  <c r="N25" i="1"/>
  <c r="M25" i="1"/>
  <c r="L25" i="1"/>
  <c r="K25" i="1"/>
  <c r="J25" i="1"/>
  <c r="I25" i="1"/>
  <c r="H25" i="1"/>
  <c r="N23" i="1"/>
  <c r="M23" i="1"/>
  <c r="L23" i="1"/>
  <c r="K23" i="1"/>
  <c r="J23" i="1"/>
  <c r="I23" i="1"/>
  <c r="H23" i="1"/>
  <c r="N21" i="1"/>
  <c r="M21" i="1"/>
  <c r="L21" i="1"/>
  <c r="K21" i="1"/>
  <c r="J21" i="1"/>
  <c r="I21" i="1"/>
  <c r="H21" i="1"/>
  <c r="N19" i="1"/>
  <c r="M19" i="1"/>
  <c r="L19" i="1"/>
  <c r="K19" i="1"/>
  <c r="J19" i="1"/>
  <c r="I19" i="1"/>
  <c r="H19" i="1"/>
  <c r="N17" i="1"/>
  <c r="M17" i="1"/>
  <c r="L17" i="1"/>
  <c r="K17" i="1"/>
  <c r="J17" i="1"/>
  <c r="I17" i="1"/>
  <c r="H17" i="1"/>
  <c r="N15" i="1"/>
  <c r="M15" i="1"/>
  <c r="L15" i="1"/>
  <c r="K15" i="1"/>
  <c r="J15" i="1"/>
  <c r="I15" i="1"/>
  <c r="H15" i="1"/>
  <c r="N13" i="1"/>
  <c r="M13" i="1"/>
  <c r="L13" i="1"/>
  <c r="K13" i="1"/>
  <c r="J13" i="1"/>
  <c r="I13" i="1"/>
  <c r="H13" i="1"/>
  <c r="N11" i="1"/>
  <c r="M11" i="1"/>
  <c r="L11" i="1"/>
  <c r="K11" i="1"/>
  <c r="J11" i="1"/>
  <c r="I11" i="1"/>
  <c r="H11" i="1"/>
  <c r="N9" i="1"/>
  <c r="M9" i="1"/>
  <c r="L9" i="1"/>
  <c r="K9" i="1"/>
  <c r="J9" i="1"/>
  <c r="I9" i="1"/>
  <c r="H9" i="1"/>
  <c r="N7" i="1"/>
  <c r="M7" i="1"/>
  <c r="L7" i="1"/>
  <c r="K7" i="1"/>
  <c r="J7" i="1"/>
  <c r="I7" i="1"/>
  <c r="H7" i="1"/>
  <c r="N5" i="1"/>
  <c r="M5" i="1"/>
  <c r="L5" i="1"/>
  <c r="K5" i="1"/>
  <c r="J5" i="1"/>
  <c r="I5" i="1"/>
  <c r="H5" i="1"/>
  <c r="N3" i="1"/>
  <c r="M3" i="1"/>
  <c r="L3" i="1"/>
  <c r="K3" i="1"/>
  <c r="J3" i="1"/>
  <c r="I3" i="1"/>
  <c r="H3" i="1"/>
  <c r="O52" i="1"/>
  <c r="O50" i="1"/>
  <c r="O48" i="1"/>
  <c r="O46" i="1"/>
  <c r="O44" i="1"/>
  <c r="O42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0" i="1"/>
  <c r="O36" i="1"/>
  <c r="O38" i="1"/>
  <c r="O54" i="1"/>
  <c r="O3" i="1" l="1"/>
  <c r="O4" i="1"/>
  <c r="O7" i="1"/>
  <c r="O19" i="1"/>
  <c r="O51" i="1"/>
  <c r="O5" i="1"/>
  <c r="O17" i="1"/>
  <c r="O49" i="1"/>
  <c r="O33" i="1"/>
  <c r="O15" i="1"/>
  <c r="O31" i="1"/>
  <c r="O47" i="1"/>
  <c r="O13" i="1"/>
  <c r="O29" i="1"/>
  <c r="O45" i="1"/>
  <c r="O25" i="1"/>
  <c r="O41" i="1"/>
  <c r="O9" i="1"/>
  <c r="O39" i="1"/>
  <c r="O35" i="1"/>
  <c r="O11" i="1"/>
  <c r="O27" i="1"/>
  <c r="O43" i="1"/>
  <c r="O23" i="1"/>
  <c r="O21" i="1"/>
  <c r="O37" i="1"/>
  <c r="O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08ED5-D496-4150-BA70-18DAB1116B94}" name="Consulta - Tabla1" description="Conexión a la consulta 'Tabla1' en el libro." type="100" refreshedVersion="8" minRefreshableVersion="5">
    <extLst>
      <ext xmlns:x15="http://schemas.microsoft.com/office/spreadsheetml/2010/11/main" uri="{DE250136-89BD-433C-8126-D09CA5730AF9}">
        <x15:connection id="ecd48288-7f16-4203-8e5d-35c376da801a"/>
      </ext>
    </extLst>
  </connection>
  <connection id="2" xr16:uid="{3B27E90F-B4A4-4C90-98AC-B0392E88A7D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<sst xmlns="http://schemas.openxmlformats.org/spreadsheetml/2006/main" count="236" uniqueCount="95">
  <si>
    <t>SKU</t>
  </si>
  <si>
    <t>Best_Model</t>
  </si>
  <si>
    <t>MAE</t>
  </si>
  <si>
    <t>RMSE</t>
  </si>
  <si>
    <t>MAPE</t>
  </si>
  <si>
    <t>Forecast</t>
  </si>
  <si>
    <t>SKU1</t>
  </si>
  <si>
    <t>HW-add-add-a0.2-b0.8-g0.2</t>
  </si>
  <si>
    <t>SKU10</t>
  </si>
  <si>
    <t>(5, 0, 3)</t>
  </si>
  <si>
    <t>SKU11</t>
  </si>
  <si>
    <t>HW-None-add-a0.8-b0.2-g0.2</t>
  </si>
  <si>
    <t>SKU12</t>
  </si>
  <si>
    <t>HW-add-add-a0.6-b0.6-g0.2</t>
  </si>
  <si>
    <t>SKU13</t>
  </si>
  <si>
    <t>HW-None-add-a0.2-b0.2-g0.2</t>
  </si>
  <si>
    <t>SKU14</t>
  </si>
  <si>
    <t>(0, 1, 1)</t>
  </si>
  <si>
    <t>SKU15</t>
  </si>
  <si>
    <t>HW-add-None-a0.8-b0.6-g0.2</t>
  </si>
  <si>
    <t>SKU16</t>
  </si>
  <si>
    <t>SKU17</t>
  </si>
  <si>
    <t>HW-None-add-a0.6-b0.2-g0.8</t>
  </si>
  <si>
    <t>SKU18</t>
  </si>
  <si>
    <t>HW-add-add-a0.8-b0.4-g0.2</t>
  </si>
  <si>
    <t>SKU19</t>
  </si>
  <si>
    <t>(4, 0, 1)</t>
  </si>
  <si>
    <t>SKU2</t>
  </si>
  <si>
    <t>SKU20</t>
  </si>
  <si>
    <t>SKU21</t>
  </si>
  <si>
    <t>SKU22</t>
  </si>
  <si>
    <t>HW-add-add-a0.2-b0.2-g0.2</t>
  </si>
  <si>
    <t>SKU23</t>
  </si>
  <si>
    <t>SKU24</t>
  </si>
  <si>
    <t>HW-add-add-a0.8-b0.2-g0.2</t>
  </si>
  <si>
    <t>SKU25</t>
  </si>
  <si>
    <t>HW-None-None-a0.4-b0.2-g0.2</t>
  </si>
  <si>
    <t>SKU26</t>
  </si>
  <si>
    <t>SKU3</t>
  </si>
  <si>
    <t>HW-None-mul-a0.2-b0.2-g0.2</t>
  </si>
  <si>
    <t>SKU4</t>
  </si>
  <si>
    <t>SKU5</t>
  </si>
  <si>
    <t>HW-None-add-a0.2-b0.2-g0.4</t>
  </si>
  <si>
    <t>SKU6</t>
  </si>
  <si>
    <t>HW-add-add-a0.4-b0.2-g0.6</t>
  </si>
  <si>
    <t>SKU7</t>
  </si>
  <si>
    <t>HW-mul-mul-a0.4-b0.4-g0.6</t>
  </si>
  <si>
    <t>SKU8</t>
  </si>
  <si>
    <t>(5, 1, 2)</t>
  </si>
  <si>
    <t>SKU9</t>
  </si>
  <si>
    <t>HW-add-add-a0.4-b0.2-g0.2</t>
  </si>
  <si>
    <t>WD1</t>
  </si>
  <si>
    <t>WD2</t>
  </si>
  <si>
    <t>WD3</t>
  </si>
  <si>
    <t>WD4</t>
  </si>
  <si>
    <t>WD5</t>
  </si>
  <si>
    <t>WD6</t>
  </si>
  <si>
    <t>WD7</t>
  </si>
  <si>
    <t>#</t>
  </si>
  <si>
    <t>Group</t>
  </si>
  <si>
    <t>Pedidos</t>
  </si>
  <si>
    <t>Total</t>
  </si>
  <si>
    <t>Total general</t>
  </si>
  <si>
    <t>WMAPE</t>
  </si>
  <si>
    <t>Forecast (Und)</t>
  </si>
  <si>
    <t>Pedidos (Und)</t>
  </si>
  <si>
    <t>Producto</t>
  </si>
  <si>
    <t>Bias %</t>
  </si>
  <si>
    <t>MAPE  %</t>
  </si>
  <si>
    <t>Modelo</t>
  </si>
  <si>
    <t>forecast</t>
  </si>
  <si>
    <t>HW-Trend(add)-seasonal(add)-a0.05-b0.2-g0.25</t>
  </si>
  <si>
    <t>HW-Trend(add)-seasonal(add)-a0.21-b0.05-g0.16</t>
  </si>
  <si>
    <t>HW-Trend(add)-seasonal(add)-a0.05-b0.17-g0.09</t>
  </si>
  <si>
    <t>ARIMA(p1-d0-q2)</t>
  </si>
  <si>
    <t>HW-Trend(add)-seasonal(add)-a0.07-b0.09-g0.07</t>
  </si>
  <si>
    <t>HW-Trend(add)-seasonal(add)-a0.05-b0.2-g0.05</t>
  </si>
  <si>
    <t>HW-Trend(add)-seasonal(add)-a0.05-b0.22-g0.11</t>
  </si>
  <si>
    <t>HW-Trend(add)-seasonal(add)-a0.35-b0.14-g0.05</t>
  </si>
  <si>
    <t>HW-Trend(add)-seasonal(add)-a0.05-b0.17-g0.05</t>
  </si>
  <si>
    <t>ARIMA(p2-d0-q2)</t>
  </si>
  <si>
    <t>HW-Trend(add)-seasonal(add)-a0.05-b0.89-g0.1</t>
  </si>
  <si>
    <t>HW-Trend(add)-seasonal(mul)-a0.05-b0.2-g0.06</t>
  </si>
  <si>
    <t>HW-Trend(add)-seasonal(add)-a0.59-b0.58-g0.11</t>
  </si>
  <si>
    <t>HW-Trend(add)-seasonal(add)-a0.05-b0.07-g0.05</t>
  </si>
  <si>
    <t>HW-Trend(add)-seasonal(add)-a0.05-b0.27-g0.18</t>
  </si>
  <si>
    <t>HW-Trend(add)-seasonal(add)-a0.15-b0.05-g0.11</t>
  </si>
  <si>
    <t>HW-Trend(add)-seasonal(add)-a0.05-b0.33-g0.18</t>
  </si>
  <si>
    <t>HW-Trend(add)-seasonal(add)-a0.09-b0.05-g0.64</t>
  </si>
  <si>
    <t>ARIMA(p1-d1-q2)</t>
  </si>
  <si>
    <t>ARIMA(p2-d0-q1)</t>
  </si>
  <si>
    <t>HW-Trend(add)-seasonal(mul)-a0.05-b0.56-g0.14</t>
  </si>
  <si>
    <t>ARIMA(p0-d0-q1)</t>
  </si>
  <si>
    <t>HW-Trend(add)-seasonal(add)-a0.84-b0.21-g0.66</t>
  </si>
  <si>
    <t>HW-Trend(add)-seasonal(add)-a0.05-b0.2-g0.08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</si>
</sst>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</cellXfs>
  <cellStyles count="1">
    <cellStyle name="Normal" xfId="0" builtinId="0"/>
  </cellStyles>
  <dxfs count="4">
    <dxf>
      <font>
        <u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605330</xdr:colOff>
      <xdr:row>2</xdr:row>
      <xdr:rowOff>26276</xdr:rowOff>
    </xdr:from>
    <xdr:to>
      <xdr:col>10</xdr:col>
      <xdr:colOff>95579</xdr:colOff>
      <xdr:row>12</xdr:row>
      <xdr:rowOff>53866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">
              <a:extLst>
                <a:ext uri="{FF2B5EF4-FFF2-40B4-BE49-F238E27FC236}">
                  <a16:creationId xmlns:a16="http://schemas.microsoft.com/office/drawing/2014/main" id="{5E169D0F-5263-DCBA-62FC-B048DC1B9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4313" y="407276"/>
              <a:ext cx="1828800" cy="1932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2.850586574074" createdVersion="5" refreshedVersion="8" minRefreshableVersion="3" recordCount="0" supportSubquery="1" supportAdvancedDrill="1" xr:uid="{C4CB9743-F4F7-4E3B-BA8D-6E96F57B95F5}">
  <cacheSource type="external" connectionId="2"/>
  <cacheFields count="7">
    <cacheField name="[Tabla1].[SKU].[SKU]" caption="SKU" numFmtId="0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1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4" level="32767"/>
    <cacheField name="[Measures].[Suma de Pedidos]" caption="Suma de Pedidos" numFmtId="0" hierarchy="5" level="32767"/>
    <cacheField name="[Measures].[WMAPE]" caption="WMAPE" numFmtId="0" hierarchy="6" level="32767"/>
    <cacheField name="[Measures].[Bias %]" caption="Bias %" numFmtId="0" hierarchy="8" level="32767"/>
    <cacheField name="[Measures].[MAPE Total %]" caption="MAPE Total %" numFmtId="0" hierarchy="9" level="32767"/>
  </cacheFields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2.85039039352" createdVersion="3" refreshedVersion="8" minRefreshableVersion="3" recordCount="0" supportSubquery="1" supportAdvancedDrill="1" xr:uid="{7A2D2787-AE91-4B61-B1EC-D916D303311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0240386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E8157-E61C-4CDE-8DD8-9DF7CACD2D50}" name="TablaDinámica1" cacheId="0" applyNumberFormats="0" applyBorderFormats="0" applyFontFormats="0" applyPatternFormats="0" applyAlignmentFormats="0" applyWidthHeightFormats="1" dataCaption="Valores" tag="06b31c9a-f5b4-42d2-8113-81d4c4a2c663" updatedVersion="8" minRefreshableVersion="3" useAutoFormatting="1" itemPrintTitles="1" createdVersion="5" indent="0" outline="1" outlineData="1" multipleFieldFilters="0" rowHeaderCaption="Producto">
  <location ref="B3:G30" firstHeaderRow="0" firstDataRow="1" firstDataCol="1"/>
  <pivotFields count="7">
    <pivotField axis="axisRow" allDrilled="1" subtotalTop="0" showAll="0" dataSourceSort="1" defaultSubtotal="0">
      <items count="26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1">
    <format dxfId="3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2"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" xr10:uid="{635AABE1-0FD4-43E3-876D-0C1FCB132A40}" sourceName="[Tabla1].[SKU]">
  <pivotTables>
    <pivotTable tabId="3" name="TablaDinámica1"/>
  </pivotTables>
  <data>
    <olap pivotCacheId="302403860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" xr10:uid="{29554780-B887-4A35-A799-16CDC9DD0DA0}" cache="SegmentaciónDeDatos_SKU" caption="SKU" startItem="21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B4D9-5E5E-4472-A4D4-9E95C791EB05}" name="Tabla1" displayName="Tabla1" ref="A2:O54" totalsRowShown="0" headerRowDxfId="2">
  <autoFilter ref="A2:O54" xr:uid="{AC5160AC-1829-43F3-A27C-CA2B27D5BDDF}"/>
  <tableColumns count="15">
    <tableColumn id="1" xr3:uid="{C3CE245C-8581-4724-B40B-3A95F6007B37}" name="#" dataDxfId="1"/>
    <tableColumn id="2" xr3:uid="{7DD193C4-0C66-409B-B1FE-EC0B16866203}" name="SKU"/>
    <tableColumn id="3" xr3:uid="{53DBC638-9875-499F-8409-A366E675D50B}" name="Best_Model"/>
    <tableColumn id="4" xr3:uid="{82BB6392-089A-4CDA-A338-FF1C44444128}" name="MAE"/>
    <tableColumn id="5" xr3:uid="{F93D7E7E-6469-46A8-9BED-F2049554C93B}" name="RMSE"/>
    <tableColumn id="6" xr3:uid="{CDA05084-8D63-4DFA-A2A3-8D3490D37E63}" name="MAPE"/>
    <tableColumn id="7" xr3:uid="{AEE91CB8-B7DF-4EC9-8EE4-7B109338A2A6}" name="Group"/>
    <tableColumn id="8" xr3:uid="{6D367662-E5D6-44E7-88C0-BD3064CF0799}" name="WD1"/>
    <tableColumn id="9" xr3:uid="{0DDE0C4C-578D-40A2-B3AF-2CD895D09698}" name="WD2"/>
    <tableColumn id="10" xr3:uid="{C0284E4B-C0CE-4D62-9ADB-BBD623E77081}" name="WD3"/>
    <tableColumn id="11" xr3:uid="{97B54EBA-0B2D-44AF-BA47-40BA878FCC48}" name="WD4"/>
    <tableColumn id="12" xr3:uid="{CC35867F-18B3-4B9D-B95F-9A6C8A52617B}" name="WD5"/>
    <tableColumn id="13" xr3:uid="{1202276D-49C0-42C7-BFF1-7373625C59BF}" name="WD6"/>
    <tableColumn id="14" xr3:uid="{B57D56EA-F3A3-48E5-8B98-375C1A04FF83}" name="WD7"/>
    <tableColumn id="15" xr3:uid="{89F9FAF5-3BDE-4BEF-A12D-89B5094AE9C5}" name="Total">
      <calculatedColumnFormula>SUM(H3:N3)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D9D-592A-4092-A381-98EB46D2643F}">
  <dimension ref="B3:O30"/>
  <sheetViews>
    <sheetView tabSelected="1" zoomScale="115" zoomScaleNormal="115" workbookViewId="0">
      <selection activeCell="D17" sqref="D17"/>
    </sheetView>
  </sheetViews>
  <sheetFormatPr baseColWidth="10" defaultRowHeight="15" x14ac:dyDescent="0.25"/>
  <cols>
    <col min="2" max="2" width="12.57031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2" bestFit="1" customWidth="1"/>
    <col min="9" max="9" width="11" bestFit="1" customWidth="1"/>
    <col min="10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8" x14ac:dyDescent="0.25">
      <c r="B3" s="4" t="s">
        <v>66</v>
      </c>
      <c r="C3" t="s">
        <v>64</v>
      </c>
      <c r="D3" t="s">
        <v>65</v>
      </c>
      <c r="E3" t="s">
        <v>63</v>
      </c>
      <c r="F3" s="2" t="s">
        <v>68</v>
      </c>
      <c r="G3" t="s">
        <v>67</v>
      </c>
    </row>
    <row r="4" spans="2:8" x14ac:dyDescent="0.25">
      <c r="B4" s="5" t="s">
        <v>6</v>
      </c>
      <c r="C4" s="6">
        <v>124231.23866468076</v>
      </c>
      <c r="D4" s="6">
        <v>140520</v>
      </c>
      <c r="E4" s="7">
        <v>0.14141702502015541</v>
      </c>
      <c r="F4" s="7">
        <v>0.11591774363307175</v>
      </c>
      <c r="G4" s="7">
        <v>-0.1186722631152298</v>
      </c>
    </row>
    <row r="5" spans="2:8" x14ac:dyDescent="0.25">
      <c r="B5" s="5" t="s">
        <v>8</v>
      </c>
      <c r="C5" s="6">
        <v>7299.6616244444158</v>
      </c>
      <c r="D5" s="6">
        <v>9180</v>
      </c>
      <c r="E5" s="7">
        <v>0.20482988840474772</v>
      </c>
      <c r="F5" s="7">
        <v>0.20482988840474772</v>
      </c>
      <c r="G5" s="7">
        <v>-0.20004234590768102</v>
      </c>
      <c r="H5" s="8"/>
    </row>
    <row r="6" spans="2:8" x14ac:dyDescent="0.25">
      <c r="B6" s="5" t="s">
        <v>10</v>
      </c>
      <c r="C6" s="6">
        <v>8071.7340502580046</v>
      </c>
      <c r="D6" s="6">
        <v>7200</v>
      </c>
      <c r="E6" s="7">
        <v>0.24409144294226998</v>
      </c>
      <c r="F6" s="7">
        <v>0.12107417364694507</v>
      </c>
      <c r="G6" s="7">
        <v>0.3066806177108391</v>
      </c>
    </row>
    <row r="7" spans="2:8" x14ac:dyDescent="0.25">
      <c r="B7" s="5" t="s">
        <v>12</v>
      </c>
      <c r="C7" s="6">
        <v>2799.6709914027269</v>
      </c>
      <c r="D7" s="6">
        <v>3900</v>
      </c>
      <c r="E7" s="7">
        <v>0.57290994699893161</v>
      </c>
      <c r="F7" s="7">
        <v>0.28213564323007001</v>
      </c>
      <c r="G7" s="7">
        <v>-0.20250471116738675</v>
      </c>
    </row>
    <row r="8" spans="2:8" x14ac:dyDescent="0.25">
      <c r="B8" s="5" t="s">
        <v>14</v>
      </c>
      <c r="C8" s="6">
        <v>3156.5150514615548</v>
      </c>
      <c r="D8" s="6">
        <v>3900</v>
      </c>
      <c r="E8" s="7">
        <v>0.34690847288860033</v>
      </c>
      <c r="F8" s="7">
        <v>0.19063716629190902</v>
      </c>
      <c r="G8" s="7">
        <v>5.6787178596644353E-2</v>
      </c>
    </row>
    <row r="9" spans="2:8" x14ac:dyDescent="0.25">
      <c r="B9" s="5" t="s">
        <v>16</v>
      </c>
      <c r="C9" s="6">
        <v>12803.078753153966</v>
      </c>
      <c r="D9" s="6">
        <v>15840</v>
      </c>
      <c r="E9" s="7">
        <v>0.60222044992813339</v>
      </c>
      <c r="F9" s="7">
        <v>0.19172482618977485</v>
      </c>
      <c r="G9" s="7">
        <v>0.54947418541334492</v>
      </c>
    </row>
    <row r="10" spans="2:8" x14ac:dyDescent="0.25">
      <c r="B10" s="5" t="s">
        <v>18</v>
      </c>
      <c r="C10" s="6">
        <v>5559.9524937365841</v>
      </c>
      <c r="D10" s="6">
        <v>6960</v>
      </c>
      <c r="E10" s="7">
        <v>0.25179887683161234</v>
      </c>
      <c r="F10" s="7">
        <v>0.20115625089991609</v>
      </c>
      <c r="G10" s="7">
        <v>-0.22295834458151567</v>
      </c>
    </row>
    <row r="11" spans="2:8" x14ac:dyDescent="0.25">
      <c r="B11" s="5" t="s">
        <v>20</v>
      </c>
      <c r="C11" s="6">
        <v>25589.076117024932</v>
      </c>
      <c r="D11" s="6">
        <v>24600</v>
      </c>
      <c r="E11" s="7">
        <v>0.19573070241852078</v>
      </c>
      <c r="F11" s="7">
        <v>4.0206346220525671E-2</v>
      </c>
      <c r="G11" s="7">
        <v>0.12816131033939943</v>
      </c>
      <c r="H11" s="8"/>
    </row>
    <row r="12" spans="2:8" x14ac:dyDescent="0.25">
      <c r="B12" s="5" t="s">
        <v>21</v>
      </c>
      <c r="C12" s="6">
        <v>104979.3100903017</v>
      </c>
      <c r="D12" s="6">
        <v>82871</v>
      </c>
      <c r="E12" s="7">
        <v>0.3350518638376308</v>
      </c>
      <c r="F12" s="7">
        <v>0.26677981550001451</v>
      </c>
      <c r="G12" s="7">
        <v>0.45808158814946048</v>
      </c>
    </row>
    <row r="13" spans="2:8" x14ac:dyDescent="0.25">
      <c r="B13" s="5" t="s">
        <v>23</v>
      </c>
      <c r="C13" s="6">
        <v>14179.148937129732</v>
      </c>
      <c r="D13" s="6">
        <v>15120</v>
      </c>
      <c r="E13" s="7">
        <v>0.24960073823117793</v>
      </c>
      <c r="F13" s="7">
        <v>6.222559939618174E-2</v>
      </c>
      <c r="G13" s="7">
        <v>6.017865170116319E-2</v>
      </c>
    </row>
    <row r="14" spans="2:8" x14ac:dyDescent="0.25">
      <c r="B14" s="5" t="s">
        <v>25</v>
      </c>
      <c r="C14" s="6">
        <v>8592.7391449885799</v>
      </c>
      <c r="D14" s="6">
        <v>27720</v>
      </c>
      <c r="E14" s="7">
        <v>0.69001662536116226</v>
      </c>
      <c r="F14" s="7">
        <v>0.69001662536116237</v>
      </c>
      <c r="G14" s="7">
        <v>-0.60868342190132607</v>
      </c>
    </row>
    <row r="15" spans="2:8" x14ac:dyDescent="0.25">
      <c r="B15" s="5" t="s">
        <v>27</v>
      </c>
      <c r="C15" s="6">
        <v>30121.35303665878</v>
      </c>
      <c r="D15" s="6">
        <v>33900</v>
      </c>
      <c r="E15" s="7">
        <v>0.32125047927879236</v>
      </c>
      <c r="F15" s="7">
        <v>0.11146451219295633</v>
      </c>
      <c r="G15" s="7">
        <v>2.744007385604063E-2</v>
      </c>
    </row>
    <row r="16" spans="2:8" x14ac:dyDescent="0.25">
      <c r="B16" s="5" t="s">
        <v>28</v>
      </c>
      <c r="C16" s="6">
        <v>153086.55556094091</v>
      </c>
      <c r="D16" s="6">
        <v>60360</v>
      </c>
      <c r="E16" s="7">
        <v>1.5362252412349389</v>
      </c>
      <c r="F16" s="7">
        <v>1.5362252412349389</v>
      </c>
      <c r="G16" s="7">
        <v>2.2092706230601658</v>
      </c>
    </row>
    <row r="17" spans="2:15" x14ac:dyDescent="0.25">
      <c r="B17" s="5" t="s">
        <v>29</v>
      </c>
      <c r="C17" s="6">
        <v>28900.162432287649</v>
      </c>
      <c r="D17" s="6">
        <v>30600</v>
      </c>
      <c r="E17" s="7">
        <v>0.31755322495909316</v>
      </c>
      <c r="F17" s="7">
        <v>5.5550247310861153E-2</v>
      </c>
      <c r="G17" s="7">
        <v>0.32515485403849703</v>
      </c>
    </row>
    <row r="18" spans="2:15" x14ac:dyDescent="0.25">
      <c r="B18" s="5" t="s">
        <v>30</v>
      </c>
      <c r="C18" s="6">
        <v>22902.905465199659</v>
      </c>
      <c r="D18" s="6">
        <v>25080</v>
      </c>
      <c r="E18" s="7">
        <v>0.27067229643285012</v>
      </c>
      <c r="F18" s="7">
        <v>8.6806002185021561E-2</v>
      </c>
      <c r="G18" s="7">
        <v>0.16442806321518494</v>
      </c>
    </row>
    <row r="19" spans="2:15" x14ac:dyDescent="0.25">
      <c r="B19" s="5" t="s">
        <v>32</v>
      </c>
      <c r="C19" s="6">
        <v>34244.818241891015</v>
      </c>
      <c r="D19" s="6">
        <v>33600</v>
      </c>
      <c r="E19" s="7">
        <v>0.203026879925222</v>
      </c>
      <c r="F19" s="7">
        <v>1.9191019103899244E-2</v>
      </c>
      <c r="G19" s="7">
        <v>7.5876839346531597E-2</v>
      </c>
    </row>
    <row r="20" spans="2:15" x14ac:dyDescent="0.25">
      <c r="B20" s="5" t="s">
        <v>33</v>
      </c>
      <c r="C20" s="6">
        <v>22787.172207550349</v>
      </c>
      <c r="D20" s="6">
        <v>28560</v>
      </c>
      <c r="E20" s="7">
        <v>0.42464118366775799</v>
      </c>
      <c r="F20" s="7">
        <v>0.202129824665604</v>
      </c>
      <c r="G20" s="7">
        <v>-3.3488518563799308E-2</v>
      </c>
    </row>
    <row r="21" spans="2:15" x14ac:dyDescent="0.25">
      <c r="B21" s="5" t="s">
        <v>35</v>
      </c>
      <c r="C21" s="6">
        <v>13720.883485649963</v>
      </c>
      <c r="D21" s="6">
        <v>14280</v>
      </c>
      <c r="E21" s="7">
        <v>0.34658716286959823</v>
      </c>
      <c r="F21" s="7">
        <v>3.9153817531515166E-2</v>
      </c>
      <c r="G21" s="7">
        <v>6.9312631094971084E-3</v>
      </c>
    </row>
    <row r="22" spans="2:15" x14ac:dyDescent="0.25">
      <c r="B22" s="5" t="s">
        <v>37</v>
      </c>
      <c r="C22" s="6">
        <v>13808.528842026679</v>
      </c>
      <c r="D22" s="6">
        <v>16080</v>
      </c>
      <c r="E22" s="7">
        <v>0.25744517125967908</v>
      </c>
      <c r="F22" s="7">
        <v>0.14126064415256973</v>
      </c>
      <c r="G22" s="7">
        <v>-5.7289212558809144E-2</v>
      </c>
    </row>
    <row r="23" spans="2:15" x14ac:dyDescent="0.25">
      <c r="B23" s="5" t="s">
        <v>38</v>
      </c>
      <c r="C23" s="6">
        <v>98214.058090296909</v>
      </c>
      <c r="D23" s="6">
        <v>90000</v>
      </c>
      <c r="E23" s="7">
        <v>0.3735900173683811</v>
      </c>
      <c r="F23" s="7">
        <v>9.1267312114410096E-2</v>
      </c>
      <c r="G23" s="7">
        <v>0.28874424763601553</v>
      </c>
    </row>
    <row r="24" spans="2:15" x14ac:dyDescent="0.25">
      <c r="B24" s="5" t="s">
        <v>40</v>
      </c>
      <c r="C24" s="6">
        <v>37387.744067894164</v>
      </c>
      <c r="D24" s="6">
        <v>30600</v>
      </c>
      <c r="E24" s="7">
        <v>0.22182170156516864</v>
      </c>
      <c r="F24" s="7">
        <v>0.22182170156516876</v>
      </c>
      <c r="G24" s="7">
        <v>0.26008034290281629</v>
      </c>
    </row>
    <row r="25" spans="2:15" x14ac:dyDescent="0.25">
      <c r="B25" s="5" t="s">
        <v>41</v>
      </c>
      <c r="C25" s="6">
        <v>96773.380411412611</v>
      </c>
      <c r="D25" s="6">
        <v>101400</v>
      </c>
      <c r="E25" s="7">
        <v>0.10415999967553076</v>
      </c>
      <c r="F25" s="7">
        <v>4.5627412116246442E-2</v>
      </c>
      <c r="G25" s="7">
        <v>-2.2673260816048962E-2</v>
      </c>
    </row>
    <row r="26" spans="2:15" x14ac:dyDescent="0.25">
      <c r="B26" s="5" t="s">
        <v>43</v>
      </c>
      <c r="C26" s="6">
        <v>17151.133420609789</v>
      </c>
      <c r="D26" s="6">
        <v>20850</v>
      </c>
      <c r="E26" s="7">
        <v>0.17740367287243214</v>
      </c>
      <c r="F26" s="7">
        <v>0.17740367287243219</v>
      </c>
      <c r="G26" s="7">
        <v>-0.159014187233433</v>
      </c>
    </row>
    <row r="27" spans="2:15" x14ac:dyDescent="0.25">
      <c r="B27" s="5" t="s">
        <v>45</v>
      </c>
      <c r="C27" s="6">
        <v>69332.629724448096</v>
      </c>
      <c r="D27" s="6">
        <v>70200</v>
      </c>
      <c r="E27" s="7">
        <v>0.40560081152868832</v>
      </c>
      <c r="F27" s="7">
        <v>1.2355701930938809E-2</v>
      </c>
      <c r="G27" s="7">
        <v>0.50623310112901609</v>
      </c>
    </row>
    <row r="28" spans="2:15" x14ac:dyDescent="0.25">
      <c r="B28" s="5" t="s">
        <v>47</v>
      </c>
      <c r="C28" s="6">
        <v>3817.4903265354451</v>
      </c>
      <c r="D28" s="6">
        <v>14760</v>
      </c>
      <c r="E28" s="7">
        <v>0.92195386585458494</v>
      </c>
      <c r="F28" s="7">
        <v>0.74136244400166362</v>
      </c>
      <c r="G28" s="7">
        <v>0.1810994154476504</v>
      </c>
    </row>
    <row r="29" spans="2:15" x14ac:dyDescent="0.25">
      <c r="B29" s="5" t="s">
        <v>49</v>
      </c>
      <c r="C29" s="6">
        <v>11504.664053564558</v>
      </c>
      <c r="D29" s="6">
        <v>7380</v>
      </c>
      <c r="E29" s="7">
        <v>0.84987960724449862</v>
      </c>
      <c r="F29" s="7">
        <v>0.55889756823367998</v>
      </c>
      <c r="G29" s="7">
        <v>2.5664072286504394</v>
      </c>
      <c r="O29" s="8"/>
    </row>
    <row r="30" spans="2:15" x14ac:dyDescent="0.25">
      <c r="B30" s="5" t="s">
        <v>62</v>
      </c>
      <c r="C30" s="6">
        <v>971015.60528554942</v>
      </c>
      <c r="D30" s="6">
        <v>915461</v>
      </c>
      <c r="E30" s="7">
        <v>0.37692137860397273</v>
      </c>
      <c r="F30" s="7">
        <v>6.0684841064282825E-2</v>
      </c>
      <c r="G30" s="7">
        <v>0.24408368924644933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0AC-1829-43F3-A27C-CA2B27D5BDDF}">
  <dimension ref="A2:O54"/>
  <sheetViews>
    <sheetView zoomScale="115" zoomScaleNormal="115" workbookViewId="0">
      <selection activeCell="H7" sqref="H7"/>
    </sheetView>
  </sheetViews>
  <sheetFormatPr baseColWidth="10" defaultRowHeight="15" outlineLevelCol="1" x14ac:dyDescent="0.25"/>
  <cols>
    <col min="1" max="1" width="11.42578125" style="2"/>
    <col min="3" max="3" width="28.42578125" bestFit="1" customWidth="1"/>
    <col min="4" max="6" width="11.42578125" customWidth="1" outlineLevel="1"/>
    <col min="7" max="7" width="12" customWidth="1"/>
    <col min="8" max="8" width="12" customWidth="1" outlineLevel="1"/>
    <col min="9" max="9" width="14.85546875" bestFit="1" customWidth="1"/>
  </cols>
  <sheetData>
    <row r="2" spans="1:15" x14ac:dyDescent="0.25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3" t="s">
        <v>61</v>
      </c>
    </row>
    <row r="3" spans="1:15" x14ac:dyDescent="0.25">
      <c r="A3" s="2">
        <v>1</v>
      </c>
      <c r="B3" t="s">
        <v>6</v>
      </c>
      <c r="C3" t="s">
        <v>7</v>
      </c>
      <c r="D3">
        <v>3925.7900359975602</v>
      </c>
      <c r="E3">
        <v>4127.5523510104476</v>
      </c>
      <c r="F3">
        <v>25.56942245630032</v>
      </c>
      <c r="G3" t="s">
        <v>5</v>
      </c>
      <c r="H3">
        <f>_xlfn.XLOOKUP($B3,'raw data results'!$A:$A,'raw data results'!F:F)</f>
        <v>10722.697736602</v>
      </c>
      <c r="I3">
        <f>_xlfn.XLOOKUP($B3,'raw data results'!$A:$A,'raw data results'!G:G)</f>
        <v>19791.579510256499</v>
      </c>
      <c r="J3">
        <f>_xlfn.XLOOKUP($B3,'raw data results'!$A:$A,'raw data results'!H:H)</f>
        <v>7896.4810645132602</v>
      </c>
      <c r="K3">
        <f>_xlfn.XLOOKUP($B3,'raw data results'!$A:$A,'raw data results'!I:I)</f>
        <v>26674.5629564761</v>
      </c>
      <c r="L3">
        <f>_xlfn.XLOOKUP($B3,'raw data results'!$A:$A,'raw data results'!J:J)</f>
        <v>22781.427169962401</v>
      </c>
      <c r="M3">
        <f>_xlfn.XLOOKUP($B3,'raw data results'!$A:$A,'raw data results'!K:K)</f>
        <v>20655.848317415701</v>
      </c>
      <c r="N3">
        <f>_xlfn.XLOOKUP($B3,'raw data results'!$A:$A,'raw data results'!L:L)</f>
        <v>15708.6419094548</v>
      </c>
      <c r="O3">
        <f>SUM(H3:N3)</f>
        <v>124231.23866468076</v>
      </c>
    </row>
    <row r="4" spans="1:15" x14ac:dyDescent="0.25">
      <c r="B4" t="s">
        <v>6</v>
      </c>
      <c r="G4" t="s">
        <v>60</v>
      </c>
      <c r="H4">
        <v>10800</v>
      </c>
      <c r="I4">
        <v>18000</v>
      </c>
      <c r="J4">
        <v>12000</v>
      </c>
      <c r="K4">
        <v>28320</v>
      </c>
      <c r="L4">
        <v>25800</v>
      </c>
      <c r="M4">
        <v>25800</v>
      </c>
      <c r="N4">
        <v>19800</v>
      </c>
      <c r="O4">
        <f t="shared" ref="O4:O46" si="0">SUM(H4:N4)</f>
        <v>140520</v>
      </c>
    </row>
    <row r="5" spans="1:15" x14ac:dyDescent="0.25">
      <c r="A5" s="2">
        <v>2</v>
      </c>
      <c r="B5" t="s">
        <v>27</v>
      </c>
      <c r="C5" t="s">
        <v>11</v>
      </c>
      <c r="D5">
        <v>989.15969777489931</v>
      </c>
      <c r="E5">
        <v>1182.289171929961</v>
      </c>
      <c r="F5">
        <v>34.357923627152111</v>
      </c>
      <c r="G5" t="s">
        <v>5</v>
      </c>
      <c r="H5">
        <f>_xlfn.XLOOKUP($B5,'raw data results'!$A:$A,'raw data results'!F:F)</f>
        <v>4085.81386897017</v>
      </c>
      <c r="I5">
        <f>_xlfn.XLOOKUP($B5,'raw data results'!$A:$A,'raw data results'!G:G)</f>
        <v>4836.60267704743</v>
      </c>
      <c r="J5">
        <f>_xlfn.XLOOKUP($B5,'raw data results'!$A:$A,'raw data results'!H:H)</f>
        <v>3246.7817154323002</v>
      </c>
      <c r="K5">
        <f>_xlfn.XLOOKUP($B5,'raw data results'!$A:$A,'raw data results'!I:I)</f>
        <v>5096.2826331039596</v>
      </c>
      <c r="L5">
        <f>_xlfn.XLOOKUP($B5,'raw data results'!$A:$A,'raw data results'!J:J)</f>
        <v>4387.6528222975803</v>
      </c>
      <c r="M5">
        <f>_xlfn.XLOOKUP($B5,'raw data results'!$A:$A,'raw data results'!K:K)</f>
        <v>4136.2052078321904</v>
      </c>
      <c r="N5">
        <f>_xlfn.XLOOKUP($B5,'raw data results'!$A:$A,'raw data results'!L:L)</f>
        <v>4332.0141119751497</v>
      </c>
      <c r="O5">
        <f t="shared" si="0"/>
        <v>30121.35303665878</v>
      </c>
    </row>
    <row r="6" spans="1:15" x14ac:dyDescent="0.25">
      <c r="B6" t="s">
        <v>27</v>
      </c>
      <c r="G6" t="s">
        <v>60</v>
      </c>
      <c r="H6">
        <v>6000</v>
      </c>
      <c r="I6">
        <v>7050</v>
      </c>
      <c r="J6">
        <v>6000</v>
      </c>
      <c r="K6">
        <v>5550</v>
      </c>
      <c r="L6">
        <v>4050</v>
      </c>
      <c r="M6">
        <v>2250</v>
      </c>
      <c r="N6">
        <v>3000</v>
      </c>
      <c r="O6">
        <f t="shared" si="0"/>
        <v>33900</v>
      </c>
    </row>
    <row r="7" spans="1:15" x14ac:dyDescent="0.25">
      <c r="A7" s="2">
        <v>3</v>
      </c>
      <c r="B7" t="s">
        <v>38</v>
      </c>
      <c r="C7" t="s">
        <v>39</v>
      </c>
      <c r="D7">
        <v>4618.5294569916614</v>
      </c>
      <c r="E7">
        <v>5226.9588533476044</v>
      </c>
      <c r="F7">
        <v>64.938720114147969</v>
      </c>
      <c r="G7" t="s">
        <v>5</v>
      </c>
      <c r="H7">
        <f>_xlfn.XLOOKUP($B7,'raw data results'!$A:$A,'raw data results'!F:F)</f>
        <v>14746.6675137404</v>
      </c>
      <c r="I7">
        <f>_xlfn.XLOOKUP($B7,'raw data results'!$A:$A,'raw data results'!G:G)</f>
        <v>13473.321197925399</v>
      </c>
      <c r="J7">
        <f>_xlfn.XLOOKUP($B7,'raw data results'!$A:$A,'raw data results'!H:H)</f>
        <v>14330.2552756321</v>
      </c>
      <c r="K7">
        <f>_xlfn.XLOOKUP($B7,'raw data results'!$A:$A,'raw data results'!I:I)</f>
        <v>13622.459707747699</v>
      </c>
      <c r="L7">
        <f>_xlfn.XLOOKUP($B7,'raw data results'!$A:$A,'raw data results'!J:J)</f>
        <v>14199.6973578982</v>
      </c>
      <c r="M7">
        <f>_xlfn.XLOOKUP($B7,'raw data results'!$A:$A,'raw data results'!K:K)</f>
        <v>13728.5972429414</v>
      </c>
      <c r="N7">
        <f>_xlfn.XLOOKUP($B7,'raw data results'!$A:$A,'raw data results'!L:L)</f>
        <v>14113.0597944117</v>
      </c>
      <c r="O7">
        <f t="shared" si="0"/>
        <v>98214.058090296909</v>
      </c>
    </row>
    <row r="8" spans="1:15" x14ac:dyDescent="0.25">
      <c r="B8" t="s">
        <v>38</v>
      </c>
      <c r="G8" t="s">
        <v>60</v>
      </c>
      <c r="H8">
        <v>12000</v>
      </c>
      <c r="I8">
        <v>18000</v>
      </c>
      <c r="J8">
        <v>9000</v>
      </c>
      <c r="K8">
        <v>21000</v>
      </c>
      <c r="L8">
        <v>15000</v>
      </c>
      <c r="M8">
        <v>6000</v>
      </c>
      <c r="N8">
        <v>9000</v>
      </c>
      <c r="O8">
        <f t="shared" si="0"/>
        <v>90000</v>
      </c>
    </row>
    <row r="9" spans="1:15" x14ac:dyDescent="0.25">
      <c r="A9" s="2">
        <v>4</v>
      </c>
      <c r="B9" t="s">
        <v>40</v>
      </c>
      <c r="C9" t="s">
        <v>31</v>
      </c>
      <c r="D9">
        <v>1220.241812445295</v>
      </c>
      <c r="E9">
        <v>1466.6586656585989</v>
      </c>
      <c r="F9">
        <v>32.756126858919252</v>
      </c>
      <c r="G9" t="s">
        <v>5</v>
      </c>
      <c r="H9">
        <f>_xlfn.XLOOKUP($B9,'raw data results'!$A:$A,'raw data results'!F:F)</f>
        <v>5332.2711770363203</v>
      </c>
      <c r="I9">
        <f>_xlfn.XLOOKUP($B9,'raw data results'!$A:$A,'raw data results'!G:G)</f>
        <v>5327.4007377220896</v>
      </c>
      <c r="J9">
        <f>_xlfn.XLOOKUP($B9,'raw data results'!$A:$A,'raw data results'!H:H)</f>
        <v>5357.7884608918403</v>
      </c>
      <c r="K9">
        <f>_xlfn.XLOOKUP($B9,'raw data results'!$A:$A,'raw data results'!I:I)</f>
        <v>5331.7388730472403</v>
      </c>
      <c r="L9">
        <f>_xlfn.XLOOKUP($B9,'raw data results'!$A:$A,'raw data results'!J:J)</f>
        <v>5353.0418270692799</v>
      </c>
      <c r="M9">
        <f>_xlfn.XLOOKUP($B9,'raw data results'!$A:$A,'raw data results'!K:K)</f>
        <v>5335.6676098291</v>
      </c>
      <c r="N9">
        <f>_xlfn.XLOOKUP($B9,'raw data results'!$A:$A,'raw data results'!L:L)</f>
        <v>5349.8353822982899</v>
      </c>
      <c r="O9">
        <f t="shared" si="0"/>
        <v>37387.744067894164</v>
      </c>
    </row>
    <row r="10" spans="1:15" x14ac:dyDescent="0.25">
      <c r="B10" t="s">
        <v>40</v>
      </c>
      <c r="G10" t="s">
        <v>60</v>
      </c>
      <c r="H10">
        <v>3750</v>
      </c>
      <c r="I10">
        <v>4800</v>
      </c>
      <c r="J10">
        <v>4800</v>
      </c>
      <c r="K10">
        <v>5250</v>
      </c>
      <c r="L10">
        <v>4500</v>
      </c>
      <c r="M10">
        <v>3000</v>
      </c>
      <c r="N10">
        <v>4500</v>
      </c>
      <c r="O10">
        <f t="shared" si="0"/>
        <v>30600</v>
      </c>
    </row>
    <row r="11" spans="1:15" x14ac:dyDescent="0.25">
      <c r="A11" s="2">
        <v>5</v>
      </c>
      <c r="B11" t="s">
        <v>41</v>
      </c>
      <c r="C11" t="s">
        <v>42</v>
      </c>
      <c r="D11">
        <v>2353.5581309654849</v>
      </c>
      <c r="E11">
        <v>3157.6619219648269</v>
      </c>
      <c r="F11">
        <v>25.146900039977101</v>
      </c>
      <c r="G11" t="s">
        <v>5</v>
      </c>
      <c r="H11">
        <f>_xlfn.XLOOKUP($B11,'raw data results'!$A:$A,'raw data results'!F:F)</f>
        <v>12218.277785727199</v>
      </c>
      <c r="I11">
        <f>_xlfn.XLOOKUP($B11,'raw data results'!$A:$A,'raw data results'!G:G)</f>
        <v>17132.901454933701</v>
      </c>
      <c r="J11">
        <f>_xlfn.XLOOKUP($B11,'raw data results'!$A:$A,'raw data results'!H:H)</f>
        <v>9528.1508725311196</v>
      </c>
      <c r="K11">
        <f>_xlfn.XLOOKUP($B11,'raw data results'!$A:$A,'raw data results'!I:I)</f>
        <v>15421.173530997399</v>
      </c>
      <c r="L11">
        <f>_xlfn.XLOOKUP($B11,'raw data results'!$A:$A,'raw data results'!J:J)</f>
        <v>12246.892034079099</v>
      </c>
      <c r="M11">
        <f>_xlfn.XLOOKUP($B11,'raw data results'!$A:$A,'raw data results'!K:K)</f>
        <v>15673.6204834861</v>
      </c>
      <c r="N11">
        <f>_xlfn.XLOOKUP($B11,'raw data results'!$A:$A,'raw data results'!L:L)</f>
        <v>14552.364249658</v>
      </c>
      <c r="O11">
        <f t="shared" si="0"/>
        <v>96773.380411412611</v>
      </c>
    </row>
    <row r="12" spans="1:15" x14ac:dyDescent="0.25">
      <c r="B12" t="s">
        <v>41</v>
      </c>
      <c r="G12" t="s">
        <v>60</v>
      </c>
      <c r="H12">
        <v>12000</v>
      </c>
      <c r="I12">
        <v>18000</v>
      </c>
      <c r="J12">
        <v>9000</v>
      </c>
      <c r="K12">
        <v>13200</v>
      </c>
      <c r="L12">
        <v>13200</v>
      </c>
      <c r="M12">
        <v>21000</v>
      </c>
      <c r="N12">
        <v>15000</v>
      </c>
      <c r="O12">
        <f t="shared" si="0"/>
        <v>101400</v>
      </c>
    </row>
    <row r="13" spans="1:15" x14ac:dyDescent="0.25">
      <c r="A13" s="2">
        <v>6</v>
      </c>
      <c r="B13" t="s">
        <v>43</v>
      </c>
      <c r="C13" t="s">
        <v>44</v>
      </c>
      <c r="D13">
        <v>753.87503631855714</v>
      </c>
      <c r="E13">
        <v>857.07940067147956</v>
      </c>
      <c r="F13">
        <v>37.464813898128398</v>
      </c>
      <c r="G13" t="s">
        <v>5</v>
      </c>
      <c r="H13">
        <f>_xlfn.XLOOKUP($B13,'raw data results'!$A:$A,'raw data results'!F:F)</f>
        <v>2556.4320995406001</v>
      </c>
      <c r="I13">
        <f>_xlfn.XLOOKUP($B13,'raw data results'!$A:$A,'raw data results'!G:G)</f>
        <v>3284.7062317079299</v>
      </c>
      <c r="J13">
        <f>_xlfn.XLOOKUP($B13,'raw data results'!$A:$A,'raw data results'!H:H)</f>
        <v>1467.3869010185499</v>
      </c>
      <c r="K13">
        <f>_xlfn.XLOOKUP($B13,'raw data results'!$A:$A,'raw data results'!I:I)</f>
        <v>3114.4005369061802</v>
      </c>
      <c r="L13">
        <f>_xlfn.XLOOKUP($B13,'raw data results'!$A:$A,'raw data results'!J:J)</f>
        <v>2242.1599360691498</v>
      </c>
      <c r="M13">
        <f>_xlfn.XLOOKUP($B13,'raw data results'!$A:$A,'raw data results'!K:K)</f>
        <v>2032.6654823399899</v>
      </c>
      <c r="N13">
        <f>_xlfn.XLOOKUP($B13,'raw data results'!$A:$A,'raw data results'!L:L)</f>
        <v>2453.3822330273902</v>
      </c>
      <c r="O13">
        <f t="shared" si="0"/>
        <v>17151.133420609789</v>
      </c>
    </row>
    <row r="14" spans="1:15" x14ac:dyDescent="0.25">
      <c r="B14" t="s">
        <v>43</v>
      </c>
      <c r="G14" t="s">
        <v>60</v>
      </c>
      <c r="H14">
        <v>3750</v>
      </c>
      <c r="I14">
        <v>3300</v>
      </c>
      <c r="J14">
        <v>1500</v>
      </c>
      <c r="K14">
        <v>3900</v>
      </c>
      <c r="L14">
        <v>3150</v>
      </c>
      <c r="M14">
        <v>2250</v>
      </c>
      <c r="N14">
        <v>3000</v>
      </c>
      <c r="O14">
        <f t="shared" si="0"/>
        <v>20850</v>
      </c>
    </row>
    <row r="15" spans="1:15" x14ac:dyDescent="0.25">
      <c r="A15" s="2">
        <v>7</v>
      </c>
      <c r="B15" t="s">
        <v>45</v>
      </c>
      <c r="C15" t="s">
        <v>46</v>
      </c>
      <c r="D15">
        <v>1956.1898671868439</v>
      </c>
      <c r="E15">
        <v>2190.928740080059</v>
      </c>
      <c r="F15">
        <v>34.711814135757031</v>
      </c>
      <c r="G15" t="s">
        <v>5</v>
      </c>
      <c r="H15">
        <f>_xlfn.XLOOKUP($B15,'raw data results'!$A:$A,'raw data results'!F:F)</f>
        <v>9923.9196838050793</v>
      </c>
      <c r="I15">
        <f>_xlfn.XLOOKUP($B15,'raw data results'!$A:$A,'raw data results'!G:G)</f>
        <v>9901.4516734405006</v>
      </c>
      <c r="J15">
        <f>_xlfn.XLOOKUP($B15,'raw data results'!$A:$A,'raw data results'!H:H)</f>
        <v>9901.4516734405006</v>
      </c>
      <c r="K15">
        <f>_xlfn.XLOOKUP($B15,'raw data results'!$A:$A,'raw data results'!I:I)</f>
        <v>9901.4516734405006</v>
      </c>
      <c r="L15">
        <f>_xlfn.XLOOKUP($B15,'raw data results'!$A:$A,'raw data results'!J:J)</f>
        <v>9901.4516734405006</v>
      </c>
      <c r="M15">
        <f>_xlfn.XLOOKUP($B15,'raw data results'!$A:$A,'raw data results'!K:K)</f>
        <v>9901.4516734405006</v>
      </c>
      <c r="N15">
        <f>_xlfn.XLOOKUP($B15,'raw data results'!$A:$A,'raw data results'!L:L)</f>
        <v>9901.4516734405006</v>
      </c>
      <c r="O15">
        <f t="shared" si="0"/>
        <v>69332.629724448096</v>
      </c>
    </row>
    <row r="16" spans="1:15" x14ac:dyDescent="0.25">
      <c r="B16" t="s">
        <v>45</v>
      </c>
      <c r="G16" t="s">
        <v>60</v>
      </c>
      <c r="H16">
        <v>15000</v>
      </c>
      <c r="I16">
        <v>15000</v>
      </c>
      <c r="J16">
        <v>3000</v>
      </c>
      <c r="K16">
        <v>12000</v>
      </c>
      <c r="L16">
        <v>12000</v>
      </c>
      <c r="M16">
        <v>3000</v>
      </c>
      <c r="N16">
        <v>10200</v>
      </c>
      <c r="O16">
        <f t="shared" si="0"/>
        <v>70200</v>
      </c>
    </row>
    <row r="17" spans="1:15" x14ac:dyDescent="0.25">
      <c r="A17" s="2">
        <v>8</v>
      </c>
      <c r="B17" t="s">
        <v>47</v>
      </c>
      <c r="C17" t="s">
        <v>48</v>
      </c>
      <c r="D17">
        <v>962.4431793768556</v>
      </c>
      <c r="E17">
        <v>1179.105688242111</v>
      </c>
      <c r="F17">
        <v>45.400550503093548</v>
      </c>
      <c r="G17" t="s">
        <v>5</v>
      </c>
      <c r="H17">
        <f>_xlfn.XLOOKUP($B17,'raw data results'!$A:$A,'raw data results'!F:F)</f>
        <v>1632.7646932745599</v>
      </c>
      <c r="I17">
        <f>_xlfn.XLOOKUP($B17,'raw data results'!$A:$A,'raw data results'!G:G)</f>
        <v>0</v>
      </c>
      <c r="J17">
        <f>_xlfn.XLOOKUP($B17,'raw data results'!$A:$A,'raw data results'!H:H)</f>
        <v>0</v>
      </c>
      <c r="K17">
        <f>_xlfn.XLOOKUP($B17,'raw data results'!$A:$A,'raw data results'!I:I)</f>
        <v>0</v>
      </c>
      <c r="L17">
        <f>_xlfn.XLOOKUP($B17,'raw data results'!$A:$A,'raw data results'!J:J)</f>
        <v>1391.49927931407</v>
      </c>
      <c r="M17">
        <f>_xlfn.XLOOKUP($B17,'raw data results'!$A:$A,'raw data results'!K:K)</f>
        <v>793.22635394681504</v>
      </c>
      <c r="N17">
        <f>_xlfn.XLOOKUP($B17,'raw data results'!$A:$A,'raw data results'!L:L)</f>
        <v>0</v>
      </c>
      <c r="O17">
        <f t="shared" si="0"/>
        <v>3817.4903265354451</v>
      </c>
    </row>
    <row r="18" spans="1:15" x14ac:dyDescent="0.25">
      <c r="B18" t="s">
        <v>47</v>
      </c>
      <c r="G18" t="s">
        <v>60</v>
      </c>
      <c r="H18">
        <v>300</v>
      </c>
      <c r="I18">
        <v>600</v>
      </c>
      <c r="J18">
        <v>0</v>
      </c>
      <c r="K18">
        <v>0</v>
      </c>
      <c r="L18">
        <v>4500</v>
      </c>
      <c r="M18">
        <v>5160</v>
      </c>
      <c r="N18">
        <v>4200</v>
      </c>
      <c r="O18">
        <f t="shared" si="0"/>
        <v>14760</v>
      </c>
    </row>
    <row r="19" spans="1:15" x14ac:dyDescent="0.25">
      <c r="A19" s="2">
        <v>9</v>
      </c>
      <c r="B19" t="s">
        <v>49</v>
      </c>
      <c r="C19" t="s">
        <v>50</v>
      </c>
      <c r="D19">
        <v>462.65278701651039</v>
      </c>
      <c r="E19">
        <v>523.1664641103107</v>
      </c>
      <c r="F19">
        <v>107.072613748397</v>
      </c>
      <c r="G19" t="s">
        <v>5</v>
      </c>
      <c r="H19">
        <f>_xlfn.XLOOKUP($B19,'raw data results'!$A:$A,'raw data results'!F:F)</f>
        <v>1509.1085700966501</v>
      </c>
      <c r="I19">
        <f>_xlfn.XLOOKUP($B19,'raw data results'!$A:$A,'raw data results'!G:G)</f>
        <v>1532.0610623723901</v>
      </c>
      <c r="J19">
        <f>_xlfn.XLOOKUP($B19,'raw data results'!$A:$A,'raw data results'!H:H)</f>
        <v>1409.4255378264399</v>
      </c>
      <c r="K19">
        <f>_xlfn.XLOOKUP($B19,'raw data results'!$A:$A,'raw data results'!I:I)</f>
        <v>2022.16131532073</v>
      </c>
      <c r="L19">
        <f>_xlfn.XLOOKUP($B19,'raw data results'!$A:$A,'raw data results'!J:J)</f>
        <v>1582.1885695108599</v>
      </c>
      <c r="M19">
        <f>_xlfn.XLOOKUP($B19,'raw data results'!$A:$A,'raw data results'!K:K)</f>
        <v>1834.2152136776899</v>
      </c>
      <c r="N19">
        <f>_xlfn.XLOOKUP($B19,'raw data results'!$A:$A,'raw data results'!L:L)</f>
        <v>1615.5037847598001</v>
      </c>
      <c r="O19">
        <f t="shared" si="0"/>
        <v>11504.664053564558</v>
      </c>
    </row>
    <row r="20" spans="1:15" x14ac:dyDescent="0.25">
      <c r="B20" t="s">
        <v>49</v>
      </c>
      <c r="G20" t="s">
        <v>60</v>
      </c>
      <c r="H20">
        <v>0</v>
      </c>
      <c r="I20">
        <v>1680</v>
      </c>
      <c r="J20">
        <v>420</v>
      </c>
      <c r="K20">
        <v>1200</v>
      </c>
      <c r="L20">
        <v>1200</v>
      </c>
      <c r="M20">
        <v>2760</v>
      </c>
      <c r="N20">
        <v>120</v>
      </c>
      <c r="O20">
        <f t="shared" si="0"/>
        <v>7380</v>
      </c>
    </row>
    <row r="21" spans="1:15" x14ac:dyDescent="0.25">
      <c r="A21" s="2">
        <v>10</v>
      </c>
      <c r="B21" t="s">
        <v>8</v>
      </c>
      <c r="C21" t="s">
        <v>9</v>
      </c>
      <c r="D21">
        <v>250.8257294371891</v>
      </c>
      <c r="E21">
        <v>290.17225582680391</v>
      </c>
      <c r="F21">
        <v>36.626048430824078</v>
      </c>
      <c r="G21" t="s">
        <v>5</v>
      </c>
      <c r="H21">
        <f>_xlfn.XLOOKUP($B21,'raw data results'!$A:$A,'raw data results'!F:F)</f>
        <v>841.75929739517005</v>
      </c>
      <c r="I21">
        <f>_xlfn.XLOOKUP($B21,'raw data results'!$A:$A,'raw data results'!G:G)</f>
        <v>977.85599506964002</v>
      </c>
      <c r="J21">
        <f>_xlfn.XLOOKUP($B21,'raw data results'!$A:$A,'raw data results'!H:H)</f>
        <v>812.597139848751</v>
      </c>
      <c r="K21">
        <f>_xlfn.XLOOKUP($B21,'raw data results'!$A:$A,'raw data results'!I:I)</f>
        <v>1330.5484574053601</v>
      </c>
      <c r="L21">
        <f>_xlfn.XLOOKUP($B21,'raw data results'!$A:$A,'raw data results'!J:J)</f>
        <v>1308.2940500686</v>
      </c>
      <c r="M21">
        <f>_xlfn.XLOOKUP($B21,'raw data results'!$A:$A,'raw data results'!K:K)</f>
        <v>516.89774187984494</v>
      </c>
      <c r="N21">
        <f>_xlfn.XLOOKUP($B21,'raw data results'!$A:$A,'raw data results'!L:L)</f>
        <v>1511.70894277705</v>
      </c>
      <c r="O21">
        <f t="shared" si="0"/>
        <v>7299.6616244444158</v>
      </c>
    </row>
    <row r="22" spans="1:15" x14ac:dyDescent="0.25">
      <c r="B22" t="s">
        <v>8</v>
      </c>
      <c r="G22" t="s">
        <v>60</v>
      </c>
      <c r="H22">
        <v>1500</v>
      </c>
      <c r="I22">
        <v>1080</v>
      </c>
      <c r="J22">
        <v>1200</v>
      </c>
      <c r="K22">
        <v>1500</v>
      </c>
      <c r="L22">
        <v>1620</v>
      </c>
      <c r="M22">
        <v>600</v>
      </c>
      <c r="N22">
        <v>1680</v>
      </c>
      <c r="O22">
        <f t="shared" si="0"/>
        <v>9180</v>
      </c>
    </row>
    <row r="23" spans="1:15" x14ac:dyDescent="0.25">
      <c r="A23" s="2">
        <v>11</v>
      </c>
      <c r="B23" t="s">
        <v>10</v>
      </c>
      <c r="C23" t="s">
        <v>11</v>
      </c>
      <c r="D23">
        <v>232.01019361116209</v>
      </c>
      <c r="E23">
        <v>321.73949429821857</v>
      </c>
      <c r="F23">
        <v>21.22618517996062</v>
      </c>
      <c r="G23" t="s">
        <v>5</v>
      </c>
      <c r="H23">
        <f>_xlfn.XLOOKUP($B23,'raw data results'!$A:$A,'raw data results'!F:F)</f>
        <v>970.47011124303799</v>
      </c>
      <c r="I23">
        <f>_xlfn.XLOOKUP($B23,'raw data results'!$A:$A,'raw data results'!G:G)</f>
        <v>1272.61443443966</v>
      </c>
      <c r="J23">
        <f>_xlfn.XLOOKUP($B23,'raw data results'!$A:$A,'raw data results'!H:H)</f>
        <v>799.07759034550895</v>
      </c>
      <c r="K23">
        <f>_xlfn.XLOOKUP($B23,'raw data results'!$A:$A,'raw data results'!I:I)</f>
        <v>1215.3485033485799</v>
      </c>
      <c r="L23">
        <f>_xlfn.XLOOKUP($B23,'raw data results'!$A:$A,'raw data results'!J:J)</f>
        <v>1344.52339609717</v>
      </c>
      <c r="M23">
        <f>_xlfn.XLOOKUP($B23,'raw data results'!$A:$A,'raw data results'!K:K)</f>
        <v>909.77352726556705</v>
      </c>
      <c r="N23">
        <f>_xlfn.XLOOKUP($B23,'raw data results'!$A:$A,'raw data results'!L:L)</f>
        <v>1559.9264875184799</v>
      </c>
      <c r="O23">
        <f t="shared" si="0"/>
        <v>8071.7340502580046</v>
      </c>
    </row>
    <row r="24" spans="1:15" x14ac:dyDescent="0.25">
      <c r="B24" t="s">
        <v>10</v>
      </c>
      <c r="G24" t="s">
        <v>60</v>
      </c>
      <c r="H24">
        <v>660</v>
      </c>
      <c r="I24">
        <v>1680</v>
      </c>
      <c r="J24">
        <v>360</v>
      </c>
      <c r="K24">
        <v>1080</v>
      </c>
      <c r="L24">
        <v>1380</v>
      </c>
      <c r="M24">
        <v>600</v>
      </c>
      <c r="N24">
        <v>1440</v>
      </c>
      <c r="O24">
        <f t="shared" si="0"/>
        <v>7200</v>
      </c>
    </row>
    <row r="25" spans="1:15" x14ac:dyDescent="0.25">
      <c r="A25" s="2">
        <v>12</v>
      </c>
      <c r="B25" t="s">
        <v>12</v>
      </c>
      <c r="C25" t="s">
        <v>13</v>
      </c>
      <c r="D25">
        <v>296.26053684072389</v>
      </c>
      <c r="E25">
        <v>356.25712892085892</v>
      </c>
      <c r="F25">
        <v>67.848572106542051</v>
      </c>
      <c r="G25" t="s">
        <v>5</v>
      </c>
      <c r="H25">
        <f>_xlfn.XLOOKUP($B25,'raw data results'!$A:$A,'raw data results'!F:F)</f>
        <v>408.048053128422</v>
      </c>
      <c r="I25">
        <f>_xlfn.XLOOKUP($B25,'raw data results'!$A:$A,'raw data results'!G:G)</f>
        <v>396.62440921065303</v>
      </c>
      <c r="J25">
        <f>_xlfn.XLOOKUP($B25,'raw data results'!$A:$A,'raw data results'!H:H)</f>
        <v>398.961839220858</v>
      </c>
      <c r="K25">
        <f>_xlfn.XLOOKUP($B25,'raw data results'!$A:$A,'raw data results'!I:I)</f>
        <v>399.00846552667099</v>
      </c>
      <c r="L25">
        <f>_xlfn.XLOOKUP($B25,'raw data results'!$A:$A,'raw data results'!J:J)</f>
        <v>399.00939561329699</v>
      </c>
      <c r="M25">
        <f>_xlfn.XLOOKUP($B25,'raw data results'!$A:$A,'raw data results'!K:K)</f>
        <v>399.009414166368</v>
      </c>
      <c r="N25">
        <f>_xlfn.XLOOKUP($B25,'raw data results'!$A:$A,'raw data results'!L:L)</f>
        <v>399.009414536458</v>
      </c>
      <c r="O25">
        <f t="shared" si="0"/>
        <v>2799.6709914027269</v>
      </c>
    </row>
    <row r="26" spans="1:15" x14ac:dyDescent="0.25">
      <c r="B26" t="s">
        <v>12</v>
      </c>
      <c r="G26" t="s">
        <v>60</v>
      </c>
      <c r="H26">
        <v>240</v>
      </c>
      <c r="I26">
        <v>420</v>
      </c>
      <c r="J26">
        <v>0</v>
      </c>
      <c r="K26">
        <v>600</v>
      </c>
      <c r="L26">
        <v>660</v>
      </c>
      <c r="M26">
        <v>1260</v>
      </c>
      <c r="N26">
        <v>720</v>
      </c>
      <c r="O26">
        <f t="shared" si="0"/>
        <v>3900</v>
      </c>
    </row>
    <row r="27" spans="1:15" x14ac:dyDescent="0.25">
      <c r="A27" s="2">
        <v>13</v>
      </c>
      <c r="B27" t="s">
        <v>14</v>
      </c>
      <c r="C27" t="s">
        <v>15</v>
      </c>
      <c r="D27">
        <v>160.97657494077799</v>
      </c>
      <c r="E27">
        <v>194.897187182262</v>
      </c>
      <c r="F27">
        <v>51.351086734902431</v>
      </c>
      <c r="G27" t="s">
        <v>5</v>
      </c>
      <c r="H27">
        <f>_xlfn.XLOOKUP($B27,'raw data results'!$A:$A,'raw data results'!F:F)</f>
        <v>316.80331104077601</v>
      </c>
      <c r="I27">
        <f>_xlfn.XLOOKUP($B27,'raw data results'!$A:$A,'raw data results'!G:G)</f>
        <v>508.79055015352498</v>
      </c>
      <c r="J27">
        <f>_xlfn.XLOOKUP($B27,'raw data results'!$A:$A,'raw data results'!H:H)</f>
        <v>219.51133679102099</v>
      </c>
      <c r="K27">
        <f>_xlfn.XLOOKUP($B27,'raw data results'!$A:$A,'raw data results'!I:I)</f>
        <v>371.38288150705699</v>
      </c>
      <c r="L27">
        <f>_xlfn.XLOOKUP($B27,'raw data results'!$A:$A,'raw data results'!J:J)</f>
        <v>581.12291560936796</v>
      </c>
      <c r="M27">
        <f>_xlfn.XLOOKUP($B27,'raw data results'!$A:$A,'raw data results'!K:K)</f>
        <v>587.92573682277202</v>
      </c>
      <c r="N27">
        <f>_xlfn.XLOOKUP($B27,'raw data results'!$A:$A,'raw data results'!L:L)</f>
        <v>570.97831953703599</v>
      </c>
      <c r="O27">
        <f t="shared" si="0"/>
        <v>3156.5150514615548</v>
      </c>
    </row>
    <row r="28" spans="1:15" x14ac:dyDescent="0.25">
      <c r="B28" t="s">
        <v>14</v>
      </c>
      <c r="G28" t="s">
        <v>60</v>
      </c>
      <c r="H28">
        <v>120</v>
      </c>
      <c r="I28">
        <v>540</v>
      </c>
      <c r="J28">
        <v>300</v>
      </c>
      <c r="K28">
        <v>600</v>
      </c>
      <c r="L28">
        <v>960</v>
      </c>
      <c r="M28">
        <v>480</v>
      </c>
      <c r="N28">
        <v>900</v>
      </c>
      <c r="O28">
        <f t="shared" si="0"/>
        <v>3900</v>
      </c>
    </row>
    <row r="29" spans="1:15" x14ac:dyDescent="0.25">
      <c r="A29" s="2">
        <v>14</v>
      </c>
      <c r="B29" t="s">
        <v>16</v>
      </c>
      <c r="C29" t="s">
        <v>17</v>
      </c>
      <c r="D29">
        <v>939.33386694631668</v>
      </c>
      <c r="E29">
        <v>1067.3594698468521</v>
      </c>
      <c r="F29">
        <v>115.81230879155331</v>
      </c>
      <c r="G29" t="s">
        <v>5</v>
      </c>
      <c r="H29">
        <f>_xlfn.XLOOKUP($B29,'raw data results'!$A:$A,'raw data results'!F:F)</f>
        <v>3070.4431056429198</v>
      </c>
      <c r="I29">
        <f>_xlfn.XLOOKUP($B29,'raw data results'!$A:$A,'raw data results'!G:G)</f>
        <v>1479.97336190849</v>
      </c>
      <c r="J29">
        <f>_xlfn.XLOOKUP($B29,'raw data results'!$A:$A,'raw data results'!H:H)</f>
        <v>630.78046630955203</v>
      </c>
      <c r="K29">
        <f>_xlfn.XLOOKUP($B29,'raw data results'!$A:$A,'raw data results'!I:I)</f>
        <v>999.005347907025</v>
      </c>
      <c r="L29">
        <f>_xlfn.XLOOKUP($B29,'raw data results'!$A:$A,'raw data results'!J:J)</f>
        <v>3002.16759892959</v>
      </c>
      <c r="M29">
        <f>_xlfn.XLOOKUP($B29,'raw data results'!$A:$A,'raw data results'!K:K)</f>
        <v>2035.0564440385101</v>
      </c>
      <c r="N29">
        <f>_xlfn.XLOOKUP($B29,'raw data results'!$A:$A,'raw data results'!L:L)</f>
        <v>1585.6524284178799</v>
      </c>
      <c r="O29">
        <f t="shared" si="0"/>
        <v>12803.078753153966</v>
      </c>
    </row>
    <row r="30" spans="1:15" x14ac:dyDescent="0.25">
      <c r="B30" t="s">
        <v>16</v>
      </c>
      <c r="G30" t="s">
        <v>60</v>
      </c>
      <c r="H30">
        <v>1800</v>
      </c>
      <c r="I30">
        <v>1200</v>
      </c>
      <c r="J30">
        <v>2040</v>
      </c>
      <c r="K30">
        <v>2040</v>
      </c>
      <c r="L30">
        <v>6840</v>
      </c>
      <c r="M30">
        <v>360</v>
      </c>
      <c r="N30">
        <v>1560</v>
      </c>
      <c r="O30">
        <f t="shared" si="0"/>
        <v>15840</v>
      </c>
    </row>
    <row r="31" spans="1:15" x14ac:dyDescent="0.25">
      <c r="A31" s="2">
        <v>15</v>
      </c>
      <c r="B31" t="s">
        <v>18</v>
      </c>
      <c r="C31" t="s">
        <v>19</v>
      </c>
      <c r="D31">
        <v>309.20839052124751</v>
      </c>
      <c r="E31">
        <v>357.36821809047171</v>
      </c>
      <c r="F31">
        <v>61.033661873628851</v>
      </c>
      <c r="G31" t="s">
        <v>5</v>
      </c>
      <c r="H31">
        <f>_xlfn.XLOOKUP($B31,'raw data results'!$A:$A,'raw data results'!F:F)</f>
        <v>380.308519724002</v>
      </c>
      <c r="I31">
        <f>_xlfn.XLOOKUP($B31,'raw data results'!$A:$A,'raw data results'!G:G)</f>
        <v>386.88081683658601</v>
      </c>
      <c r="J31">
        <f>_xlfn.XLOOKUP($B31,'raw data results'!$A:$A,'raw data results'!H:H)</f>
        <v>947.95082586298304</v>
      </c>
      <c r="K31">
        <f>_xlfn.XLOOKUP($B31,'raw data results'!$A:$A,'raw data results'!I:I)</f>
        <v>1559.47398933677</v>
      </c>
      <c r="L31">
        <f>_xlfn.XLOOKUP($B31,'raw data results'!$A:$A,'raw data results'!J:J)</f>
        <v>464.16648329166702</v>
      </c>
      <c r="M31">
        <f>_xlfn.XLOOKUP($B31,'raw data results'!$A:$A,'raw data results'!K:K)</f>
        <v>1268.2855123793199</v>
      </c>
      <c r="N31">
        <f>_xlfn.XLOOKUP($B31,'raw data results'!$A:$A,'raw data results'!L:L)</f>
        <v>552.88634630525598</v>
      </c>
      <c r="O31">
        <f t="shared" si="0"/>
        <v>5559.9524937365841</v>
      </c>
    </row>
    <row r="32" spans="1:15" x14ac:dyDescent="0.25">
      <c r="B32" t="s">
        <v>18</v>
      </c>
      <c r="G32" t="s">
        <v>60</v>
      </c>
      <c r="H32">
        <v>600</v>
      </c>
      <c r="I32">
        <v>600</v>
      </c>
      <c r="J32">
        <v>840</v>
      </c>
      <c r="K32">
        <v>2040</v>
      </c>
      <c r="L32">
        <v>840</v>
      </c>
      <c r="M32">
        <v>1200</v>
      </c>
      <c r="N32">
        <v>840</v>
      </c>
      <c r="O32">
        <f t="shared" si="0"/>
        <v>6960</v>
      </c>
    </row>
    <row r="33" spans="1:15" x14ac:dyDescent="0.25">
      <c r="A33" s="2">
        <v>16</v>
      </c>
      <c r="B33" t="s">
        <v>20</v>
      </c>
      <c r="C33" t="s">
        <v>15</v>
      </c>
      <c r="D33">
        <v>661.29510376690723</v>
      </c>
      <c r="E33">
        <v>757.71701397042295</v>
      </c>
      <c r="F33">
        <v>76.278076053253443</v>
      </c>
      <c r="G33" t="s">
        <v>5</v>
      </c>
      <c r="H33">
        <f>_xlfn.XLOOKUP($B33,'raw data results'!$A:$A,'raw data results'!F:F)</f>
        <v>4351.6140562682403</v>
      </c>
      <c r="I33">
        <f>_xlfn.XLOOKUP($B33,'raw data results'!$A:$A,'raw data results'!G:G)</f>
        <v>4316.3518520396101</v>
      </c>
      <c r="J33">
        <f>_xlfn.XLOOKUP($B33,'raw data results'!$A:$A,'raw data results'!H:H)</f>
        <v>0</v>
      </c>
      <c r="K33">
        <f>_xlfn.XLOOKUP($B33,'raw data results'!$A:$A,'raw data results'!I:I)</f>
        <v>4570.6985667250501</v>
      </c>
      <c r="L33">
        <f>_xlfn.XLOOKUP($B33,'raw data results'!$A:$A,'raw data results'!J:J)</f>
        <v>4057.5515017456</v>
      </c>
      <c r="M33">
        <f>_xlfn.XLOOKUP($B33,'raw data results'!$A:$A,'raw data results'!K:K)</f>
        <v>3932.3826945113401</v>
      </c>
      <c r="N33">
        <f>_xlfn.XLOOKUP($B33,'raw data results'!$A:$A,'raw data results'!L:L)</f>
        <v>4360.4774457350904</v>
      </c>
      <c r="O33">
        <f t="shared" si="0"/>
        <v>25589.076117024932</v>
      </c>
    </row>
    <row r="34" spans="1:15" x14ac:dyDescent="0.25">
      <c r="B34" t="s">
        <v>20</v>
      </c>
      <c r="G34" t="s">
        <v>60</v>
      </c>
      <c r="H34">
        <v>4200</v>
      </c>
      <c r="I34">
        <v>6000</v>
      </c>
      <c r="J34">
        <v>0</v>
      </c>
      <c r="K34">
        <v>4800</v>
      </c>
      <c r="L34">
        <v>2250</v>
      </c>
      <c r="M34">
        <v>3450</v>
      </c>
      <c r="N34">
        <v>3900</v>
      </c>
      <c r="O34">
        <f t="shared" si="0"/>
        <v>24600</v>
      </c>
    </row>
    <row r="35" spans="1:15" x14ac:dyDescent="0.25">
      <c r="A35" s="2">
        <v>17</v>
      </c>
      <c r="B35" t="s">
        <v>21</v>
      </c>
      <c r="C35" t="s">
        <v>22</v>
      </c>
      <c r="D35">
        <v>2382.0891339504192</v>
      </c>
      <c r="E35">
        <v>2836.6794935983348</v>
      </c>
      <c r="F35">
        <v>30.805129351237031</v>
      </c>
      <c r="G35" t="s">
        <v>5</v>
      </c>
      <c r="H35">
        <f>_xlfn.XLOOKUP($B35,'raw data results'!$A:$A,'raw data results'!F:F)</f>
        <v>16727.3420254142</v>
      </c>
      <c r="I35">
        <f>_xlfn.XLOOKUP($B35,'raw data results'!$A:$A,'raw data results'!G:G)</f>
        <v>13113.505666532101</v>
      </c>
      <c r="J35">
        <f>_xlfn.XLOOKUP($B35,'raw data results'!$A:$A,'raw data results'!H:H)</f>
        <v>12771.113541106701</v>
      </c>
      <c r="K35">
        <f>_xlfn.XLOOKUP($B35,'raw data results'!$A:$A,'raw data results'!I:I)</f>
        <v>13427.067535160601</v>
      </c>
      <c r="L35">
        <f>_xlfn.XLOOKUP($B35,'raw data results'!$A:$A,'raw data results'!J:J)</f>
        <v>21865.395893661698</v>
      </c>
      <c r="M35">
        <f>_xlfn.XLOOKUP($B35,'raw data results'!$A:$A,'raw data results'!K:K)</f>
        <v>12930.766479014999</v>
      </c>
      <c r="N35">
        <f>_xlfn.XLOOKUP($B35,'raw data results'!$A:$A,'raw data results'!L:L)</f>
        <v>14144.118949411401</v>
      </c>
      <c r="O35">
        <f t="shared" si="0"/>
        <v>104979.3100903017</v>
      </c>
    </row>
    <row r="36" spans="1:15" x14ac:dyDescent="0.25">
      <c r="B36" t="s">
        <v>21</v>
      </c>
      <c r="G36" t="s">
        <v>60</v>
      </c>
      <c r="H36">
        <v>13800</v>
      </c>
      <c r="I36">
        <v>9000</v>
      </c>
      <c r="J36">
        <v>15600</v>
      </c>
      <c r="K36">
        <v>12671</v>
      </c>
      <c r="L36">
        <v>15600</v>
      </c>
      <c r="M36">
        <v>4200</v>
      </c>
      <c r="N36">
        <v>12000</v>
      </c>
      <c r="O36">
        <f t="shared" si="0"/>
        <v>82871</v>
      </c>
    </row>
    <row r="37" spans="1:15" x14ac:dyDescent="0.25">
      <c r="A37" s="2">
        <v>18</v>
      </c>
      <c r="B37" t="s">
        <v>23</v>
      </c>
      <c r="C37" t="s">
        <v>24</v>
      </c>
      <c r="D37">
        <v>612.43592702386366</v>
      </c>
      <c r="E37">
        <v>718.28157810713992</v>
      </c>
      <c r="F37">
        <v>66.867217029209598</v>
      </c>
      <c r="G37" t="s">
        <v>5</v>
      </c>
      <c r="H37">
        <f>_xlfn.XLOOKUP($B37,'raw data results'!$A:$A,'raw data results'!F:F)</f>
        <v>2130.4072473481101</v>
      </c>
      <c r="I37">
        <f>_xlfn.XLOOKUP($B37,'raw data results'!$A:$A,'raw data results'!G:G)</f>
        <v>1712.657809197</v>
      </c>
      <c r="J37">
        <f>_xlfn.XLOOKUP($B37,'raw data results'!$A:$A,'raw data results'!H:H)</f>
        <v>1786.61872463392</v>
      </c>
      <c r="K37">
        <f>_xlfn.XLOOKUP($B37,'raw data results'!$A:$A,'raw data results'!I:I)</f>
        <v>2197.8637645470999</v>
      </c>
      <c r="L37">
        <f>_xlfn.XLOOKUP($B37,'raw data results'!$A:$A,'raw data results'!J:J)</f>
        <v>2385.4525891591402</v>
      </c>
      <c r="M37">
        <f>_xlfn.XLOOKUP($B37,'raw data results'!$A:$A,'raw data results'!K:K)</f>
        <v>2140.4053598104101</v>
      </c>
      <c r="N37">
        <f>_xlfn.XLOOKUP($B37,'raw data results'!$A:$A,'raw data results'!L:L)</f>
        <v>1825.7434424340499</v>
      </c>
      <c r="O37">
        <f t="shared" si="0"/>
        <v>14179.148937129732</v>
      </c>
    </row>
    <row r="38" spans="1:15" x14ac:dyDescent="0.25">
      <c r="B38" t="s">
        <v>23</v>
      </c>
      <c r="G38" t="s">
        <v>60</v>
      </c>
      <c r="H38">
        <v>1680</v>
      </c>
      <c r="I38">
        <v>3120</v>
      </c>
      <c r="J38">
        <v>1800</v>
      </c>
      <c r="K38">
        <v>2760</v>
      </c>
      <c r="L38">
        <v>2760</v>
      </c>
      <c r="M38">
        <v>2040</v>
      </c>
      <c r="N38">
        <v>960</v>
      </c>
      <c r="O38">
        <f t="shared" si="0"/>
        <v>15120</v>
      </c>
    </row>
    <row r="39" spans="1:15" x14ac:dyDescent="0.25">
      <c r="A39" s="2">
        <v>19</v>
      </c>
      <c r="B39" t="s">
        <v>25</v>
      </c>
      <c r="C39" t="s">
        <v>26</v>
      </c>
      <c r="D39">
        <v>1539.8361297229981</v>
      </c>
      <c r="E39">
        <v>1748.0411359700061</v>
      </c>
      <c r="F39">
        <v>85.143736389780827</v>
      </c>
      <c r="G39" t="s">
        <v>5</v>
      </c>
      <c r="H39">
        <f>_xlfn.XLOOKUP($B39,'raw data results'!$A:$A,'raw data results'!F:F)</f>
        <v>3110.0871807562899</v>
      </c>
      <c r="I39">
        <f>_xlfn.XLOOKUP($B39,'raw data results'!$A:$A,'raw data results'!G:G)</f>
        <v>123.60083887450099</v>
      </c>
      <c r="J39">
        <f>_xlfn.XLOOKUP($B39,'raw data results'!$A:$A,'raw data results'!H:H)</f>
        <v>389.32404120937099</v>
      </c>
      <c r="K39">
        <f>_xlfn.XLOOKUP($B39,'raw data results'!$A:$A,'raw data results'!I:I)</f>
        <v>1335.8989020167201</v>
      </c>
      <c r="L39">
        <f>_xlfn.XLOOKUP($B39,'raw data results'!$A:$A,'raw data results'!J:J)</f>
        <v>2383.6359294397898</v>
      </c>
      <c r="M39">
        <f>_xlfn.XLOOKUP($B39,'raw data results'!$A:$A,'raw data results'!K:K)</f>
        <v>863.22867278199703</v>
      </c>
      <c r="N39">
        <f>_xlfn.XLOOKUP($B39,'raw data results'!$A:$A,'raw data results'!L:L)</f>
        <v>386.963579909911</v>
      </c>
      <c r="O39">
        <f t="shared" si="0"/>
        <v>8592.7391449885799</v>
      </c>
    </row>
    <row r="40" spans="1:15" x14ac:dyDescent="0.25">
      <c r="B40" t="s">
        <v>25</v>
      </c>
      <c r="G40" t="s">
        <v>60</v>
      </c>
      <c r="H40">
        <v>8400</v>
      </c>
      <c r="I40">
        <v>240</v>
      </c>
      <c r="J40">
        <v>4200</v>
      </c>
      <c r="K40">
        <v>6240</v>
      </c>
      <c r="L40">
        <v>3240</v>
      </c>
      <c r="M40">
        <v>1200</v>
      </c>
      <c r="N40">
        <v>4200</v>
      </c>
      <c r="O40">
        <f t="shared" si="0"/>
        <v>27720</v>
      </c>
    </row>
    <row r="41" spans="1:15" x14ac:dyDescent="0.25">
      <c r="A41" s="2">
        <v>20</v>
      </c>
      <c r="B41" t="s">
        <v>28</v>
      </c>
      <c r="C41" t="s">
        <v>15</v>
      </c>
      <c r="D41">
        <v>4179.3864350094555</v>
      </c>
      <c r="E41">
        <v>4558.8898054449564</v>
      </c>
      <c r="F41">
        <v>110.2300068228071</v>
      </c>
      <c r="G41" t="s">
        <v>5</v>
      </c>
      <c r="H41">
        <f>_xlfn.XLOOKUP($B41,'raw data results'!$A:$A,'raw data results'!F:F)</f>
        <v>16788.946923762302</v>
      </c>
      <c r="I41">
        <f>_xlfn.XLOOKUP($B41,'raw data results'!$A:$A,'raw data results'!G:G)</f>
        <v>11673.2821112398</v>
      </c>
      <c r="J41">
        <f>_xlfn.XLOOKUP($B41,'raw data results'!$A:$A,'raw data results'!H:H)</f>
        <v>16986.195767990899</v>
      </c>
      <c r="K41">
        <f>_xlfn.XLOOKUP($B41,'raw data results'!$A:$A,'raw data results'!I:I)</f>
        <v>23660.922577368099</v>
      </c>
      <c r="L41">
        <f>_xlfn.XLOOKUP($B41,'raw data results'!$A:$A,'raw data results'!J:J)</f>
        <v>27237.4065195281</v>
      </c>
      <c r="M41">
        <f>_xlfn.XLOOKUP($B41,'raw data results'!$A:$A,'raw data results'!K:K)</f>
        <v>27377.365474430298</v>
      </c>
      <c r="N41">
        <f>_xlfn.XLOOKUP($B41,'raw data results'!$A:$A,'raw data results'!L:L)</f>
        <v>29362.436186621399</v>
      </c>
      <c r="O41">
        <f t="shared" si="0"/>
        <v>153086.55556094091</v>
      </c>
    </row>
    <row r="42" spans="1:15" x14ac:dyDescent="0.25">
      <c r="B42" t="s">
        <v>28</v>
      </c>
      <c r="G42" t="s">
        <v>60</v>
      </c>
      <c r="H42">
        <v>8400</v>
      </c>
      <c r="I42">
        <v>1800</v>
      </c>
      <c r="J42">
        <v>5400</v>
      </c>
      <c r="K42">
        <v>10800</v>
      </c>
      <c r="L42">
        <v>16800</v>
      </c>
      <c r="M42">
        <v>6360</v>
      </c>
      <c r="N42">
        <v>10800</v>
      </c>
      <c r="O42">
        <f t="shared" si="0"/>
        <v>60360</v>
      </c>
    </row>
    <row r="43" spans="1:15" x14ac:dyDescent="0.25">
      <c r="A43" s="2">
        <v>21</v>
      </c>
      <c r="B43" t="s">
        <v>29</v>
      </c>
      <c r="C43" t="s">
        <v>7</v>
      </c>
      <c r="D43">
        <v>813.81425760892671</v>
      </c>
      <c r="E43">
        <v>1042.018799645555</v>
      </c>
      <c r="F43">
        <v>47.058159602282373</v>
      </c>
      <c r="G43" t="s">
        <v>5</v>
      </c>
      <c r="H43">
        <f>_xlfn.XLOOKUP($B43,'raw data results'!$A:$A,'raw data results'!F:F)</f>
        <v>3209.1989594593001</v>
      </c>
      <c r="I43">
        <f>_xlfn.XLOOKUP($B43,'raw data results'!$A:$A,'raw data results'!G:G)</f>
        <v>4301.5601992032398</v>
      </c>
      <c r="J43">
        <f>_xlfn.XLOOKUP($B43,'raw data results'!$A:$A,'raw data results'!H:H)</f>
        <v>2307.3166967923698</v>
      </c>
      <c r="K43">
        <f>_xlfn.XLOOKUP($B43,'raw data results'!$A:$A,'raw data results'!I:I)</f>
        <v>4711.0689773809399</v>
      </c>
      <c r="L43">
        <f>_xlfn.XLOOKUP($B43,'raw data results'!$A:$A,'raw data results'!J:J)</f>
        <v>7662.2027320242996</v>
      </c>
      <c r="M43">
        <f>_xlfn.XLOOKUP($B43,'raw data results'!$A:$A,'raw data results'!K:K)</f>
        <v>2559.5007251820998</v>
      </c>
      <c r="N43">
        <f>_xlfn.XLOOKUP($B43,'raw data results'!$A:$A,'raw data results'!L:L)</f>
        <v>4149.3141422454</v>
      </c>
      <c r="O43">
        <f t="shared" si="0"/>
        <v>28900.162432287649</v>
      </c>
    </row>
    <row r="44" spans="1:15" x14ac:dyDescent="0.25">
      <c r="B44" t="s">
        <v>29</v>
      </c>
      <c r="G44" t="s">
        <v>60</v>
      </c>
      <c r="H44">
        <v>1800</v>
      </c>
      <c r="I44">
        <v>3840</v>
      </c>
      <c r="J44">
        <v>960</v>
      </c>
      <c r="K44">
        <v>4680</v>
      </c>
      <c r="L44">
        <v>13200</v>
      </c>
      <c r="M44">
        <v>1800</v>
      </c>
      <c r="N44">
        <v>4320</v>
      </c>
      <c r="O44">
        <f t="shared" si="0"/>
        <v>30600</v>
      </c>
    </row>
    <row r="45" spans="1:15" x14ac:dyDescent="0.25">
      <c r="A45" s="2">
        <v>22</v>
      </c>
      <c r="B45" t="s">
        <v>30</v>
      </c>
      <c r="C45" t="s">
        <v>31</v>
      </c>
      <c r="D45">
        <v>1415.177839323253</v>
      </c>
      <c r="E45">
        <v>1806.61819567406</v>
      </c>
      <c r="F45">
        <v>117.61892519584801</v>
      </c>
      <c r="G45" t="s">
        <v>5</v>
      </c>
      <c r="H45">
        <f>_xlfn.XLOOKUP($B45,'raw data results'!$A:$A,'raw data results'!F:F)</f>
        <v>3739.0456511104899</v>
      </c>
      <c r="I45">
        <f>_xlfn.XLOOKUP($B45,'raw data results'!$A:$A,'raw data results'!G:G)</f>
        <v>1988.9131940145101</v>
      </c>
      <c r="J45">
        <f>_xlfn.XLOOKUP($B45,'raw data results'!$A:$A,'raw data results'!H:H)</f>
        <v>886.61416951315005</v>
      </c>
      <c r="K45">
        <f>_xlfn.XLOOKUP($B45,'raw data results'!$A:$A,'raw data results'!I:I)</f>
        <v>4433.3913214026297</v>
      </c>
      <c r="L45">
        <f>_xlfn.XLOOKUP($B45,'raw data results'!$A:$A,'raw data results'!J:J)</f>
        <v>5448.0240081053598</v>
      </c>
      <c r="M45">
        <f>_xlfn.XLOOKUP($B45,'raw data results'!$A:$A,'raw data results'!K:K)</f>
        <v>3875.8068058239</v>
      </c>
      <c r="N45">
        <f>_xlfn.XLOOKUP($B45,'raw data results'!$A:$A,'raw data results'!L:L)</f>
        <v>2531.11031522962</v>
      </c>
      <c r="O45">
        <f t="shared" si="0"/>
        <v>22902.905465199659</v>
      </c>
    </row>
    <row r="46" spans="1:15" x14ac:dyDescent="0.25">
      <c r="B46" t="s">
        <v>30</v>
      </c>
      <c r="G46" t="s">
        <v>60</v>
      </c>
      <c r="H46">
        <v>3000</v>
      </c>
      <c r="I46">
        <v>840</v>
      </c>
      <c r="J46">
        <v>840</v>
      </c>
      <c r="K46">
        <v>5040</v>
      </c>
      <c r="L46">
        <v>6240</v>
      </c>
      <c r="M46">
        <v>6960</v>
      </c>
      <c r="N46">
        <v>2160</v>
      </c>
      <c r="O46">
        <f t="shared" si="0"/>
        <v>25080</v>
      </c>
    </row>
    <row r="47" spans="1:15" x14ac:dyDescent="0.25">
      <c r="A47" s="2">
        <v>23</v>
      </c>
      <c r="B47" t="s">
        <v>32</v>
      </c>
      <c r="C47" t="s">
        <v>13</v>
      </c>
      <c r="D47">
        <v>845.27351296227573</v>
      </c>
      <c r="E47">
        <v>1138.349998467146</v>
      </c>
      <c r="F47">
        <v>30.618483883451749</v>
      </c>
      <c r="G47" t="s">
        <v>5</v>
      </c>
      <c r="H47">
        <f>_xlfn.XLOOKUP($B47,'raw data results'!$A:$A,'raw data results'!F:F)</f>
        <v>4599.7134224892898</v>
      </c>
      <c r="I47">
        <f>_xlfn.XLOOKUP($B47,'raw data results'!$A:$A,'raw data results'!G:G)</f>
        <v>5213.8235617282498</v>
      </c>
      <c r="J47">
        <f>_xlfn.XLOOKUP($B47,'raw data results'!$A:$A,'raw data results'!H:H)</f>
        <v>3438.5872082901501</v>
      </c>
      <c r="K47">
        <f>_xlfn.XLOOKUP($B47,'raw data results'!$A:$A,'raw data results'!I:I)</f>
        <v>6328.8484376619699</v>
      </c>
      <c r="L47">
        <f>_xlfn.XLOOKUP($B47,'raw data results'!$A:$A,'raw data results'!J:J)</f>
        <v>5955.0096999403904</v>
      </c>
      <c r="M47">
        <f>_xlfn.XLOOKUP($B47,'raw data results'!$A:$A,'raw data results'!K:K)</f>
        <v>2672.0014960088702</v>
      </c>
      <c r="N47">
        <f>_xlfn.XLOOKUP($B47,'raw data results'!$A:$A,'raw data results'!L:L)</f>
        <v>6036.8344157721003</v>
      </c>
      <c r="O47">
        <f t="shared" ref="O47:O54" si="1">SUM(H47:N47)</f>
        <v>34244.818241891015</v>
      </c>
    </row>
    <row r="48" spans="1:15" x14ac:dyDescent="0.25">
      <c r="B48" t="s">
        <v>32</v>
      </c>
      <c r="G48" t="s">
        <v>60</v>
      </c>
      <c r="H48">
        <v>5160</v>
      </c>
      <c r="I48">
        <v>3720</v>
      </c>
      <c r="J48">
        <v>3000</v>
      </c>
      <c r="K48">
        <v>4800</v>
      </c>
      <c r="L48">
        <v>6720</v>
      </c>
      <c r="M48">
        <v>2400</v>
      </c>
      <c r="N48">
        <v>7800</v>
      </c>
      <c r="O48">
        <f t="shared" si="1"/>
        <v>33600</v>
      </c>
    </row>
    <row r="49" spans="1:15" x14ac:dyDescent="0.25">
      <c r="A49" s="2">
        <v>24</v>
      </c>
      <c r="B49" t="s">
        <v>33</v>
      </c>
      <c r="C49" t="s">
        <v>34</v>
      </c>
      <c r="D49">
        <v>1162.319049978976</v>
      </c>
      <c r="E49">
        <v>1413.76919906798</v>
      </c>
      <c r="F49">
        <v>47.450621527806177</v>
      </c>
      <c r="G49" t="s">
        <v>5</v>
      </c>
      <c r="H49">
        <f>_xlfn.XLOOKUP($B49,'raw data results'!$A:$A,'raw data results'!F:F)</f>
        <v>2631.9087135534601</v>
      </c>
      <c r="I49">
        <f>_xlfn.XLOOKUP($B49,'raw data results'!$A:$A,'raw data results'!G:G)</f>
        <v>3563.9982437488102</v>
      </c>
      <c r="J49">
        <f>_xlfn.XLOOKUP($B49,'raw data results'!$A:$A,'raw data results'!H:H)</f>
        <v>1441.83849299489</v>
      </c>
      <c r="K49">
        <f>_xlfn.XLOOKUP($B49,'raw data results'!$A:$A,'raw data results'!I:I)</f>
        <v>4061.58255038985</v>
      </c>
      <c r="L49">
        <f>_xlfn.XLOOKUP($B49,'raw data results'!$A:$A,'raw data results'!J:J)</f>
        <v>3342.2907138660398</v>
      </c>
      <c r="M49">
        <f>_xlfn.XLOOKUP($B49,'raw data results'!$A:$A,'raw data results'!K:K)</f>
        <v>1907.60430801556</v>
      </c>
      <c r="N49">
        <f>_xlfn.XLOOKUP($B49,'raw data results'!$A:$A,'raw data results'!L:L)</f>
        <v>5837.9491849817396</v>
      </c>
      <c r="O49">
        <f t="shared" si="1"/>
        <v>22787.172207550349</v>
      </c>
    </row>
    <row r="50" spans="1:15" x14ac:dyDescent="0.25">
      <c r="B50" t="s">
        <v>33</v>
      </c>
      <c r="G50" t="s">
        <v>60</v>
      </c>
      <c r="H50">
        <v>1800</v>
      </c>
      <c r="I50">
        <v>7200</v>
      </c>
      <c r="J50">
        <v>2640</v>
      </c>
      <c r="K50">
        <v>6120</v>
      </c>
      <c r="L50">
        <v>5400</v>
      </c>
      <c r="M50">
        <v>1200</v>
      </c>
      <c r="N50">
        <v>4200</v>
      </c>
      <c r="O50">
        <f t="shared" si="1"/>
        <v>28560</v>
      </c>
    </row>
    <row r="51" spans="1:15" x14ac:dyDescent="0.25">
      <c r="A51" s="2">
        <v>25</v>
      </c>
      <c r="B51" t="s">
        <v>35</v>
      </c>
      <c r="C51" t="s">
        <v>36</v>
      </c>
      <c r="D51">
        <v>557.60455570700697</v>
      </c>
      <c r="E51">
        <v>646.23996810600215</v>
      </c>
      <c r="F51">
        <v>22.891942167841481</v>
      </c>
      <c r="G51" t="s">
        <v>5</v>
      </c>
      <c r="H51">
        <f>_xlfn.XLOOKUP($B51,'raw data results'!$A:$A,'raw data results'!F:F)</f>
        <v>2773.24435791414</v>
      </c>
      <c r="I51">
        <f>_xlfn.XLOOKUP($B51,'raw data results'!$A:$A,'raw data results'!G:G)</f>
        <v>1823.0179671124599</v>
      </c>
      <c r="J51">
        <f>_xlfn.XLOOKUP($B51,'raw data results'!$A:$A,'raw data results'!H:H)</f>
        <v>851.52991065557296</v>
      </c>
      <c r="K51">
        <f>_xlfn.XLOOKUP($B51,'raw data results'!$A:$A,'raw data results'!I:I)</f>
        <v>1926.0854804303599</v>
      </c>
      <c r="L51">
        <f>_xlfn.XLOOKUP($B51,'raw data results'!$A:$A,'raw data results'!J:J)</f>
        <v>2588.1587316405598</v>
      </c>
      <c r="M51">
        <f>_xlfn.XLOOKUP($B51,'raw data results'!$A:$A,'raw data results'!K:K)</f>
        <v>1491.5651878651299</v>
      </c>
      <c r="N51">
        <f>_xlfn.XLOOKUP($B51,'raw data results'!$A:$A,'raw data results'!L:L)</f>
        <v>2267.2818500317399</v>
      </c>
      <c r="O51">
        <f t="shared" si="1"/>
        <v>13720.883485649963</v>
      </c>
    </row>
    <row r="52" spans="1:15" x14ac:dyDescent="0.25">
      <c r="B52" t="s">
        <v>35</v>
      </c>
      <c r="G52" t="s">
        <v>60</v>
      </c>
      <c r="H52">
        <v>2520</v>
      </c>
      <c r="I52">
        <v>1200</v>
      </c>
      <c r="J52">
        <v>0</v>
      </c>
      <c r="K52">
        <v>2400</v>
      </c>
      <c r="L52">
        <v>4440</v>
      </c>
      <c r="M52">
        <v>1920</v>
      </c>
      <c r="N52">
        <v>1800</v>
      </c>
      <c r="O52">
        <f t="shared" si="1"/>
        <v>14280</v>
      </c>
    </row>
    <row r="53" spans="1:15" x14ac:dyDescent="0.25">
      <c r="A53" s="2">
        <v>26</v>
      </c>
      <c r="B53" t="s">
        <v>37</v>
      </c>
      <c r="C53" t="s">
        <v>17</v>
      </c>
      <c r="D53">
        <v>500.40376269578962</v>
      </c>
      <c r="E53">
        <v>585.18786845281022</v>
      </c>
      <c r="F53">
        <v>35.183391734850318</v>
      </c>
      <c r="G53" t="s">
        <v>5</v>
      </c>
      <c r="H53">
        <f>_xlfn.XLOOKUP($B53,'raw data results'!$A:$A,'raw data results'!F:F)</f>
        <v>1788.6081567574299</v>
      </c>
      <c r="I53">
        <f>_xlfn.XLOOKUP($B53,'raw data results'!$A:$A,'raw data results'!G:G)</f>
        <v>2164.1339785426599</v>
      </c>
      <c r="J53">
        <f>_xlfn.XLOOKUP($B53,'raw data results'!$A:$A,'raw data results'!H:H)</f>
        <v>1850.0780813180399</v>
      </c>
      <c r="K53">
        <f>_xlfn.XLOOKUP($B53,'raw data results'!$A:$A,'raw data results'!I:I)</f>
        <v>2112.7260827595201</v>
      </c>
      <c r="L53">
        <f>_xlfn.XLOOKUP($B53,'raw data results'!$A:$A,'raw data results'!J:J)</f>
        <v>1893.0710045685701</v>
      </c>
      <c r="M53">
        <f>_xlfn.XLOOKUP($B53,'raw data results'!$A:$A,'raw data results'!K:K)</f>
        <v>2076.7706828843202</v>
      </c>
      <c r="N53">
        <f>_xlfn.XLOOKUP($B53,'raw data results'!$A:$A,'raw data results'!L:L)</f>
        <v>1923.1408551961399</v>
      </c>
      <c r="O53">
        <f t="shared" si="1"/>
        <v>13808.528842026679</v>
      </c>
    </row>
    <row r="54" spans="1:15" x14ac:dyDescent="0.25">
      <c r="B54" t="s">
        <v>37</v>
      </c>
      <c r="G54" t="s">
        <v>60</v>
      </c>
      <c r="H54">
        <v>3360</v>
      </c>
      <c r="I54">
        <v>1800</v>
      </c>
      <c r="J54">
        <v>1800</v>
      </c>
      <c r="K54">
        <v>2160</v>
      </c>
      <c r="L54">
        <v>3480</v>
      </c>
      <c r="M54">
        <v>1920</v>
      </c>
      <c r="N54">
        <v>1560</v>
      </c>
      <c r="O54">
        <f t="shared" si="1"/>
        <v>16080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F3B6-4DD0-4B81-9439-256BF58A91CF}">
  <dimension ref="A1:L27"/>
  <sheetViews>
    <sheetView workbookViewId="0">
      <selection activeCell="H8" sqref="H8:I8"/>
    </sheetView>
  </sheetViews>
  <sheetFormatPr baseColWidth="10" defaultRowHeight="15" x14ac:dyDescent="0.25"/>
  <cols>
    <col min="2" max="2" width="12.140625" bestFit="1" customWidth="1"/>
    <col min="6" max="6" width="12" bestFit="1" customWidth="1"/>
  </cols>
  <sheetData>
    <row r="1" spans="1:12" x14ac:dyDescent="0.25">
      <c r="A1" s="1" t="s">
        <v>0</v>
      </c>
      <c r="B1" s="1" t="s">
        <v>69</v>
      </c>
      <c r="C1" s="1" t="s">
        <v>3</v>
      </c>
      <c r="D1" s="1" t="s">
        <v>2</v>
      </c>
      <c r="E1" s="1" t="s">
        <v>4</v>
      </c>
      <c r="F1" s="1" t="s">
        <v>70</v>
      </c>
    </row>
    <row r="2" spans="1:12" x14ac:dyDescent="0.25">
      <c r="A2" t="s">
        <v>6</v>
      </c>
      <c r="B2" t="s">
        <v>71</v>
      </c>
      <c r="C2">
        <v>3274.912277742098</v>
      </c>
      <c r="D2">
        <v>2838.8457651188792</v>
      </c>
      <c r="E2">
        <v>14.711003311930069</v>
      </c>
      <c r="F2">
        <v>10722.697736602</v>
      </c>
      <c r="G2">
        <v>19791.579510256499</v>
      </c>
      <c r="H2">
        <v>7896.4810645132602</v>
      </c>
      <c r="I2">
        <v>26674.5629564761</v>
      </c>
      <c r="J2">
        <v>22781.427169962401</v>
      </c>
      <c r="K2">
        <v>20655.848317415701</v>
      </c>
      <c r="L2">
        <v>15708.6419094548</v>
      </c>
    </row>
    <row r="3" spans="1:12" x14ac:dyDescent="0.25">
      <c r="A3" t="s">
        <v>8</v>
      </c>
      <c r="B3" t="s">
        <v>72</v>
      </c>
      <c r="C3">
        <v>328.39381543647983</v>
      </c>
      <c r="D3">
        <v>268.61976793651002</v>
      </c>
      <c r="E3">
        <v>20.004234590767961</v>
      </c>
      <c r="F3">
        <v>841.75929739517005</v>
      </c>
      <c r="G3">
        <v>977.85599506964002</v>
      </c>
      <c r="H3">
        <v>812.597139848751</v>
      </c>
      <c r="I3">
        <v>1330.5484574053601</v>
      </c>
      <c r="J3">
        <v>1308.2940500686</v>
      </c>
      <c r="K3">
        <v>516.89774187984494</v>
      </c>
      <c r="L3">
        <v>1511.70894277705</v>
      </c>
    </row>
    <row r="4" spans="1:12" x14ac:dyDescent="0.25">
      <c r="A4" t="s">
        <v>10</v>
      </c>
      <c r="B4" t="s">
        <v>73</v>
      </c>
      <c r="C4">
        <v>289.1029541609326</v>
      </c>
      <c r="D4">
        <v>251.06548416919239</v>
      </c>
      <c r="E4">
        <v>38.330892972775118</v>
      </c>
      <c r="F4">
        <v>970.47011124303799</v>
      </c>
      <c r="G4">
        <v>1272.61443443966</v>
      </c>
      <c r="H4">
        <v>799.07759034550895</v>
      </c>
      <c r="I4">
        <v>1215.3485033485799</v>
      </c>
      <c r="J4">
        <v>1344.52339609717</v>
      </c>
      <c r="K4">
        <v>909.77352726556705</v>
      </c>
      <c r="L4">
        <v>1559.9264875184799</v>
      </c>
    </row>
    <row r="5" spans="1:12" x14ac:dyDescent="0.25">
      <c r="A5" t="s">
        <v>12</v>
      </c>
      <c r="B5" t="s">
        <v>74</v>
      </c>
      <c r="C5">
        <v>334.23516575959042</v>
      </c>
      <c r="D5">
        <v>284.54470594414238</v>
      </c>
      <c r="E5">
        <v>42.33236976282187</v>
      </c>
      <c r="F5">
        <v>408.048053128422</v>
      </c>
      <c r="G5">
        <v>396.62440921065303</v>
      </c>
      <c r="H5">
        <v>398.961839220858</v>
      </c>
      <c r="I5">
        <v>399.00846552667099</v>
      </c>
      <c r="J5">
        <v>399.00939561329699</v>
      </c>
      <c r="K5">
        <v>399.009414166368</v>
      </c>
      <c r="L5">
        <v>399.009414536458</v>
      </c>
    </row>
    <row r="6" spans="1:12" x14ac:dyDescent="0.25">
      <c r="A6" t="s">
        <v>14</v>
      </c>
      <c r="B6" t="s">
        <v>75</v>
      </c>
      <c r="C6">
        <v>227.3766104095246</v>
      </c>
      <c r="D6">
        <v>193.27757775221991</v>
      </c>
      <c r="E6">
        <v>47.603364341875782</v>
      </c>
      <c r="F6">
        <v>316.80331104077601</v>
      </c>
      <c r="G6">
        <v>508.79055015352498</v>
      </c>
      <c r="H6">
        <v>219.51133679102099</v>
      </c>
      <c r="I6">
        <v>371.38288150705699</v>
      </c>
      <c r="J6">
        <v>581.12291560936796</v>
      </c>
      <c r="K6">
        <v>587.92573682277202</v>
      </c>
      <c r="L6">
        <v>570.97831953703599</v>
      </c>
    </row>
    <row r="7" spans="1:12" x14ac:dyDescent="0.25">
      <c r="A7" t="s">
        <v>16</v>
      </c>
      <c r="B7" t="s">
        <v>76</v>
      </c>
      <c r="C7">
        <v>1759.673900235364</v>
      </c>
      <c r="D7">
        <v>1351.032855740508</v>
      </c>
      <c r="E7">
        <v>105.2191632676511</v>
      </c>
      <c r="F7">
        <v>3070.4431056429198</v>
      </c>
      <c r="G7">
        <v>1479.97336190849</v>
      </c>
      <c r="H7">
        <v>630.78046630955203</v>
      </c>
      <c r="I7">
        <v>999.005347907025</v>
      </c>
      <c r="J7">
        <v>3002.16759892959</v>
      </c>
      <c r="K7">
        <v>2035.0564440385101</v>
      </c>
      <c r="L7">
        <v>1585.6524284178799</v>
      </c>
    </row>
    <row r="8" spans="1:12" x14ac:dyDescent="0.25">
      <c r="A8" t="s">
        <v>18</v>
      </c>
      <c r="B8" t="s">
        <v>77</v>
      </c>
      <c r="C8">
        <v>283.9996866413552</v>
      </c>
      <c r="D8">
        <v>250.36002610685941</v>
      </c>
      <c r="E8">
        <v>27.59347678905311</v>
      </c>
      <c r="F8">
        <v>380.308519724002</v>
      </c>
      <c r="G8">
        <v>386.88081683658601</v>
      </c>
      <c r="H8">
        <v>947.95082586298304</v>
      </c>
      <c r="I8">
        <v>1559.47398933677</v>
      </c>
      <c r="J8">
        <v>464.16648329166702</v>
      </c>
      <c r="K8">
        <v>1268.2855123793199</v>
      </c>
      <c r="L8">
        <v>552.88634630525598</v>
      </c>
    </row>
    <row r="9" spans="1:12" x14ac:dyDescent="0.25">
      <c r="A9" t="s">
        <v>20</v>
      </c>
      <c r="B9" t="s">
        <v>78</v>
      </c>
      <c r="C9">
        <v>972.93094414670577</v>
      </c>
      <c r="D9">
        <v>696.83241360309398</v>
      </c>
      <c r="E9">
        <v>34.653231074587069</v>
      </c>
      <c r="F9">
        <v>4351.6140562682403</v>
      </c>
      <c r="G9">
        <v>4316.3518520396101</v>
      </c>
      <c r="H9">
        <v>0</v>
      </c>
      <c r="I9">
        <v>4570.6985667250501</v>
      </c>
      <c r="J9">
        <v>4057.5515017456</v>
      </c>
      <c r="K9">
        <v>3932.3826945113401</v>
      </c>
      <c r="L9">
        <v>4360.4774457350904</v>
      </c>
    </row>
    <row r="10" spans="1:12" x14ac:dyDescent="0.25">
      <c r="A10" t="s">
        <v>21</v>
      </c>
      <c r="B10" t="s">
        <v>79</v>
      </c>
      <c r="C10">
        <v>4692.5961745531058</v>
      </c>
      <c r="D10">
        <v>3966.583286869793</v>
      </c>
      <c r="E10">
        <v>50.989269545520287</v>
      </c>
      <c r="F10">
        <v>16727.3420254142</v>
      </c>
      <c r="G10">
        <v>13113.505666532101</v>
      </c>
      <c r="H10">
        <v>12771.113541106701</v>
      </c>
      <c r="I10">
        <v>13427.067535160601</v>
      </c>
      <c r="J10">
        <v>21865.395893661698</v>
      </c>
      <c r="K10">
        <v>12930.766479014999</v>
      </c>
      <c r="L10">
        <v>14144.118949411401</v>
      </c>
    </row>
    <row r="11" spans="1:12" x14ac:dyDescent="0.25">
      <c r="A11" t="s">
        <v>23</v>
      </c>
      <c r="B11" t="s">
        <v>80</v>
      </c>
      <c r="C11">
        <v>696.8842539251059</v>
      </c>
      <c r="D11">
        <v>539.13759457934282</v>
      </c>
      <c r="E11">
        <v>28.81453344400591</v>
      </c>
      <c r="F11">
        <v>2130.4072473481101</v>
      </c>
      <c r="G11">
        <v>1712.657809197</v>
      </c>
      <c r="H11">
        <v>1786.61872463392</v>
      </c>
      <c r="I11">
        <v>2197.8637645470999</v>
      </c>
      <c r="J11">
        <v>2385.4525891591402</v>
      </c>
      <c r="K11">
        <v>2140.4053598104101</v>
      </c>
      <c r="L11">
        <v>1825.7434424340499</v>
      </c>
    </row>
    <row r="12" spans="1:12" x14ac:dyDescent="0.25">
      <c r="A12" t="s">
        <v>25</v>
      </c>
      <c r="B12" t="s">
        <v>81</v>
      </c>
      <c r="C12">
        <v>3140.372051758121</v>
      </c>
      <c r="D12">
        <v>2531.199324910177</v>
      </c>
      <c r="E12">
        <v>59.802440517136198</v>
      </c>
      <c r="F12">
        <v>3110.0871807562899</v>
      </c>
      <c r="G12">
        <v>123.60083887450099</v>
      </c>
      <c r="H12">
        <v>389.32404120937099</v>
      </c>
      <c r="I12">
        <v>1335.8989020167201</v>
      </c>
      <c r="J12">
        <v>2383.6359294397898</v>
      </c>
      <c r="K12">
        <v>863.22867278199703</v>
      </c>
      <c r="L12">
        <v>386.963579909911</v>
      </c>
    </row>
    <row r="13" spans="1:12" x14ac:dyDescent="0.25">
      <c r="A13" t="s">
        <v>27</v>
      </c>
      <c r="B13" t="s">
        <v>82</v>
      </c>
      <c r="C13">
        <v>1764.545580269533</v>
      </c>
      <c r="D13">
        <v>1555.770178221579</v>
      </c>
      <c r="E13">
        <v>36.275683955221147</v>
      </c>
      <c r="F13">
        <v>4085.81386897017</v>
      </c>
      <c r="G13">
        <v>4836.60267704743</v>
      </c>
      <c r="H13">
        <v>3246.7817154323002</v>
      </c>
      <c r="I13">
        <v>5096.2826331039596</v>
      </c>
      <c r="J13">
        <v>4387.6528222975803</v>
      </c>
      <c r="K13">
        <v>4136.2052078321904</v>
      </c>
      <c r="L13">
        <v>4332.0141119751497</v>
      </c>
    </row>
    <row r="14" spans="1:12" x14ac:dyDescent="0.25">
      <c r="A14" t="s">
        <v>28</v>
      </c>
      <c r="B14" t="s">
        <v>83</v>
      </c>
      <c r="C14">
        <v>13968.041753668431</v>
      </c>
      <c r="D14">
        <v>13267.114809560269</v>
      </c>
      <c r="E14">
        <v>221.12624747691299</v>
      </c>
      <c r="F14">
        <v>16788.946923762302</v>
      </c>
      <c r="G14">
        <v>11673.2821112398</v>
      </c>
      <c r="H14">
        <v>16986.195767990899</v>
      </c>
      <c r="I14">
        <v>23660.922577368099</v>
      </c>
      <c r="J14">
        <v>27237.4065195281</v>
      </c>
      <c r="K14">
        <v>27377.365474430298</v>
      </c>
      <c r="L14">
        <v>29362.436186621399</v>
      </c>
    </row>
    <row r="15" spans="1:12" x14ac:dyDescent="0.25">
      <c r="A15" t="s">
        <v>29</v>
      </c>
      <c r="B15" t="s">
        <v>84</v>
      </c>
      <c r="C15">
        <v>867.79263208854752</v>
      </c>
      <c r="D15">
        <v>712.2549009247856</v>
      </c>
      <c r="E15">
        <v>40.998046794441663</v>
      </c>
      <c r="F15">
        <v>3209.1989594593001</v>
      </c>
      <c r="G15">
        <v>4301.5601992032398</v>
      </c>
      <c r="H15">
        <v>2307.3166967923698</v>
      </c>
      <c r="I15">
        <v>4711.0689773809399</v>
      </c>
      <c r="J15">
        <v>7662.2027320242996</v>
      </c>
      <c r="K15">
        <v>2559.5007251820998</v>
      </c>
      <c r="L15">
        <v>4149.3141422454</v>
      </c>
    </row>
    <row r="16" spans="1:12" x14ac:dyDescent="0.25">
      <c r="A16" t="s">
        <v>30</v>
      </c>
      <c r="B16" t="s">
        <v>85</v>
      </c>
      <c r="C16">
        <v>1140.1032425769399</v>
      </c>
      <c r="D16">
        <v>881.94174325777408</v>
      </c>
      <c r="E16">
        <v>35.397888471524368</v>
      </c>
      <c r="F16">
        <v>3739.0456511104899</v>
      </c>
      <c r="G16">
        <v>1988.9131940145101</v>
      </c>
      <c r="H16">
        <v>886.61416951315005</v>
      </c>
      <c r="I16">
        <v>4433.3913214026297</v>
      </c>
      <c r="J16">
        <v>5448.0240081053598</v>
      </c>
      <c r="K16">
        <v>3875.8068058239</v>
      </c>
      <c r="L16">
        <v>2531.11031522962</v>
      </c>
    </row>
    <row r="17" spans="1:12" x14ac:dyDescent="0.25">
      <c r="A17" t="s">
        <v>32</v>
      </c>
      <c r="B17" t="s">
        <v>86</v>
      </c>
      <c r="C17">
        <v>1123.9670824839529</v>
      </c>
      <c r="D17">
        <v>974.52902364106717</v>
      </c>
      <c r="E17">
        <v>20.401037709047461</v>
      </c>
      <c r="F17">
        <v>4599.7134224892898</v>
      </c>
      <c r="G17">
        <v>5213.8235617282498</v>
      </c>
      <c r="H17">
        <v>3438.5872082901501</v>
      </c>
      <c r="I17">
        <v>6328.8484376619699</v>
      </c>
      <c r="J17">
        <v>5955.0096999403904</v>
      </c>
      <c r="K17">
        <v>2672.0014960088702</v>
      </c>
      <c r="L17">
        <v>6036.8344157721003</v>
      </c>
    </row>
    <row r="18" spans="1:12" x14ac:dyDescent="0.25">
      <c r="A18" t="s">
        <v>33</v>
      </c>
      <c r="B18" t="s">
        <v>87</v>
      </c>
      <c r="C18">
        <v>1964.0702332664259</v>
      </c>
      <c r="D18">
        <v>1732.536029364453</v>
      </c>
      <c r="E18">
        <v>44.543985153393201</v>
      </c>
      <c r="F18">
        <v>2631.9087135534601</v>
      </c>
      <c r="G18">
        <v>3563.9982437488102</v>
      </c>
      <c r="H18">
        <v>1441.83849299489</v>
      </c>
      <c r="I18">
        <v>4061.58255038985</v>
      </c>
      <c r="J18">
        <v>3342.2907138660398</v>
      </c>
      <c r="K18">
        <v>1907.60430801556</v>
      </c>
      <c r="L18">
        <v>5837.9491849817396</v>
      </c>
    </row>
    <row r="19" spans="1:12" x14ac:dyDescent="0.25">
      <c r="A19" t="s">
        <v>35</v>
      </c>
      <c r="B19" t="s">
        <v>88</v>
      </c>
      <c r="C19">
        <v>663.54847954994648</v>
      </c>
      <c r="D19">
        <v>603.99884480345213</v>
      </c>
      <c r="E19">
        <v>26.731737586680179</v>
      </c>
      <c r="F19">
        <v>2773.24435791414</v>
      </c>
      <c r="G19">
        <v>1823.0179671124599</v>
      </c>
      <c r="H19">
        <v>851.52991065557296</v>
      </c>
      <c r="I19">
        <v>1926.0854804303599</v>
      </c>
      <c r="J19">
        <v>2588.1587316405598</v>
      </c>
      <c r="K19">
        <v>1491.5651878651299</v>
      </c>
      <c r="L19">
        <v>2267.2818500317399</v>
      </c>
    </row>
    <row r="20" spans="1:12" x14ac:dyDescent="0.25">
      <c r="A20" t="s">
        <v>37</v>
      </c>
      <c r="B20" t="s">
        <v>89</v>
      </c>
      <c r="C20">
        <v>868.61141082303857</v>
      </c>
      <c r="D20">
        <v>591.38833626509143</v>
      </c>
      <c r="E20">
        <v>21.28754433742413</v>
      </c>
      <c r="F20">
        <v>1788.6081567574299</v>
      </c>
      <c r="G20">
        <v>2164.1339785426599</v>
      </c>
      <c r="H20">
        <v>1850.0780813180399</v>
      </c>
      <c r="I20">
        <v>2112.7260827595201</v>
      </c>
      <c r="J20">
        <v>1893.0710045685701</v>
      </c>
      <c r="K20">
        <v>2076.7706828843202</v>
      </c>
      <c r="L20">
        <v>1923.1408551961399</v>
      </c>
    </row>
    <row r="21" spans="1:12" x14ac:dyDescent="0.25">
      <c r="A21" t="s">
        <v>38</v>
      </c>
      <c r="B21" t="s">
        <v>90</v>
      </c>
      <c r="C21">
        <v>5310.2300945464094</v>
      </c>
      <c r="D21">
        <v>4803.3002233077586</v>
      </c>
      <c r="E21">
        <v>47.621484981672268</v>
      </c>
      <c r="F21">
        <v>14746.6675137404</v>
      </c>
      <c r="G21">
        <v>13473.321197925399</v>
      </c>
      <c r="H21">
        <v>14330.2552756321</v>
      </c>
      <c r="I21">
        <v>13622.459707747699</v>
      </c>
      <c r="J21">
        <v>14199.6973578982</v>
      </c>
      <c r="K21">
        <v>13728.5972429414</v>
      </c>
      <c r="L21">
        <v>14113.0597944117</v>
      </c>
    </row>
    <row r="22" spans="1:12" x14ac:dyDescent="0.25">
      <c r="A22" t="s">
        <v>40</v>
      </c>
      <c r="B22" t="s">
        <v>90</v>
      </c>
      <c r="C22">
        <v>1195.5146259272269</v>
      </c>
      <c r="D22">
        <v>969.67772398488455</v>
      </c>
      <c r="E22">
        <v>26.008034290281721</v>
      </c>
      <c r="F22">
        <v>5332.2711770363203</v>
      </c>
      <c r="G22">
        <v>5327.4007377220896</v>
      </c>
      <c r="H22">
        <v>5357.7884608918403</v>
      </c>
      <c r="I22">
        <v>5331.7388730472403</v>
      </c>
      <c r="J22">
        <v>5353.0418270692799</v>
      </c>
      <c r="K22">
        <v>5335.6676098291</v>
      </c>
      <c r="L22">
        <v>5349.8353822982899</v>
      </c>
    </row>
    <row r="23" spans="1:12" x14ac:dyDescent="0.25">
      <c r="A23" t="s">
        <v>41</v>
      </c>
      <c r="B23" t="s">
        <v>91</v>
      </c>
      <c r="C23">
        <v>2251.7032153835862</v>
      </c>
      <c r="D23">
        <v>1508.831995299819</v>
      </c>
      <c r="E23">
        <v>9.2714394474265447</v>
      </c>
      <c r="F23">
        <v>12218.277785727199</v>
      </c>
      <c r="G23">
        <v>17132.901454933701</v>
      </c>
      <c r="H23">
        <v>9528.1508725311196</v>
      </c>
      <c r="I23">
        <v>15421.173530997399</v>
      </c>
      <c r="J23">
        <v>12246.892034079099</v>
      </c>
      <c r="K23">
        <v>15673.6204834861</v>
      </c>
      <c r="L23">
        <v>14552.364249658</v>
      </c>
    </row>
    <row r="24" spans="1:12" x14ac:dyDescent="0.25">
      <c r="A24" t="s">
        <v>43</v>
      </c>
      <c r="B24" t="s">
        <v>76</v>
      </c>
      <c r="C24">
        <v>677.52355999189626</v>
      </c>
      <c r="D24">
        <v>528.40951134145098</v>
      </c>
      <c r="E24">
        <v>15.90141872334303</v>
      </c>
      <c r="F24">
        <v>2556.4320995406001</v>
      </c>
      <c r="G24">
        <v>3284.7062317079299</v>
      </c>
      <c r="H24">
        <v>1467.3869010185499</v>
      </c>
      <c r="I24">
        <v>3114.4005369061802</v>
      </c>
      <c r="J24">
        <v>2242.1599360691498</v>
      </c>
      <c r="K24">
        <v>2032.6654823399899</v>
      </c>
      <c r="L24">
        <v>2453.3822330273902</v>
      </c>
    </row>
    <row r="25" spans="1:12" x14ac:dyDescent="0.25">
      <c r="A25" t="s">
        <v>45</v>
      </c>
      <c r="B25" t="s">
        <v>92</v>
      </c>
      <c r="C25">
        <v>4719.5459539102822</v>
      </c>
      <c r="D25">
        <v>4067.5967099019872</v>
      </c>
      <c r="E25">
        <v>80.832912238346026</v>
      </c>
      <c r="F25">
        <v>9923.9196838050793</v>
      </c>
      <c r="G25">
        <v>9901.4516734405006</v>
      </c>
      <c r="H25">
        <v>9901.4516734405006</v>
      </c>
      <c r="I25">
        <v>9901.4516734405006</v>
      </c>
      <c r="J25">
        <v>9901.4516734405006</v>
      </c>
      <c r="K25">
        <v>9901.4516734405006</v>
      </c>
      <c r="L25">
        <v>9901.4516734405006</v>
      </c>
    </row>
    <row r="26" spans="1:12" x14ac:dyDescent="0.25">
      <c r="A26" t="s">
        <v>47</v>
      </c>
      <c r="B26" t="s">
        <v>93</v>
      </c>
      <c r="C26">
        <v>1485.2448740268901</v>
      </c>
      <c r="D26">
        <v>1144.990825185982</v>
      </c>
      <c r="E26">
        <v>152.9945412176032</v>
      </c>
      <c r="F26">
        <v>1632.7646932745599</v>
      </c>
      <c r="G26">
        <v>0</v>
      </c>
      <c r="H26">
        <v>0</v>
      </c>
      <c r="I26">
        <v>0</v>
      </c>
      <c r="J26">
        <v>1391.49927931407</v>
      </c>
      <c r="K26">
        <v>793.22635394681504</v>
      </c>
      <c r="L26">
        <v>0</v>
      </c>
    </row>
    <row r="27" spans="1:12" x14ac:dyDescent="0.25">
      <c r="A27" t="s">
        <v>49</v>
      </c>
      <c r="B27" t="s">
        <v>94</v>
      </c>
      <c r="C27">
        <v>954.62503621627582</v>
      </c>
      <c r="D27">
        <v>793.16188827308099</v>
      </c>
      <c r="E27">
        <v>266.84791486375798</v>
      </c>
      <c r="F27">
        <v>1509.1085700966501</v>
      </c>
      <c r="G27">
        <v>1532.0610623723901</v>
      </c>
      <c r="H27">
        <v>1409.4255378264399</v>
      </c>
      <c r="I27">
        <v>2022.16131532073</v>
      </c>
      <c r="J27">
        <v>1582.1885695108599</v>
      </c>
      <c r="K27">
        <v>1834.2152136776899</v>
      </c>
      <c r="L27">
        <v>1615.5037847598001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7637ACF-3239-4DCD-830B-C29E56C08056}">
  <ds:schemaRefs/>
</ds:datastoreItem>
</file>

<file path=customXml/itemProps2.xml><?xml version="1.0" encoding="utf-8"?>
<ds:datastoreItem xmlns:ds="http://schemas.openxmlformats.org/officeDocument/2006/customXml" ds:itemID="{806BDB6F-4839-4D55-8540-1C04BFD24F9B}">
  <ds:schemaRefs/>
</ds:datastoreItem>
</file>

<file path=customXml/itemProps3.xml><?xml version="1.0" encoding="utf-8"?>
<ds:datastoreItem xmlns:ds="http://schemas.openxmlformats.org/officeDocument/2006/customXml" ds:itemID="{CA0A201E-EB0B-482A-8729-0820DE0F1192}">
  <ds:schemaRefs/>
</ds:datastoreItem>
</file>

<file path=customXml/itemProps4.xml><?xml version="1.0" encoding="utf-8"?>
<ds:datastoreItem xmlns:ds="http://schemas.openxmlformats.org/officeDocument/2006/customXml" ds:itemID="{FE7CC479-DC22-4634-BA16-32D9A1755A64}">
  <ds:schemaRefs/>
</ds:datastoreItem>
</file>

<file path=customXml/itemProps5.xml><?xml version="1.0" encoding="utf-8"?>
<ds:datastoreItem xmlns:ds="http://schemas.openxmlformats.org/officeDocument/2006/customXml" ds:itemID="{83480261-0343-43FF-B522-5F95E5A49444}">
  <ds:schemaRefs/>
</ds:datastoreItem>
</file>

<file path=customXml/itemProps6.xml><?xml version="1.0" encoding="utf-8"?>
<ds:datastoreItem xmlns:ds="http://schemas.openxmlformats.org/officeDocument/2006/customXml" ds:itemID="{C86FEBF5-687A-4C07-878A-3329454F5B1C}">
  <ds:schemaRefs/>
</ds:datastoreItem>
</file>

<file path=customXml/itemProps7.xml><?xml version="1.0" encoding="utf-8"?>
<ds:datastoreItem xmlns:ds="http://schemas.openxmlformats.org/officeDocument/2006/customXml" ds:itemID="{334C172A-8370-4F76-A6E0-D7E0C18D512D}">
  <ds:schemaRefs/>
</ds:datastoreItem>
</file>

<file path=customXml/itemProps8.xml><?xml version="1.0" encoding="utf-8"?>
<ds:datastoreItem xmlns:ds="http://schemas.openxmlformats.org/officeDocument/2006/customXml" ds:itemID="{D33C3EF4-C9A0-4670-B44D-15BC7E8A9EED}">
  <ds:schemaRefs/>
</ds:datastoreItem>
</file>

<file path=customXml/itemProps9.xml><?xml version="1.0" encoding="utf-8"?>
<ds:datastoreItem xmlns:ds="http://schemas.openxmlformats.org/officeDocument/2006/customXml" ds:itemID="{14B7B712-0663-4450-9B8E-AD499730FFA8}">
  <ds:schemaRefs/>
</ds:datastoreItem>
</file>

<file path=customXml/itemProps10.xml><?xml version="1.0" encoding="utf-8"?>
<ds:datastoreItem xmlns:ds="http://schemas.openxmlformats.org/officeDocument/2006/customXml" ds:itemID="{38397E51-AF97-4CD6-92A2-2F8D069D3E08}">
  <ds:schemaRefs/>
</ds:datastoreItem>
</file>

<file path=customXml/itemProps11.xml><?xml version="1.0" encoding="utf-8"?>
<ds:datastoreItem xmlns:ds="http://schemas.openxmlformats.org/officeDocument/2006/customXml" ds:itemID="{DDE7201D-CBEE-4941-847E-5E09DFE55219}">
  <ds:schemaRefs/>
</ds:datastoreItem>
</file>

<file path=customXml/itemProps12.xml><?xml version="1.0" encoding="utf-8"?>
<ds:datastoreItem xmlns:ds="http://schemas.openxmlformats.org/officeDocument/2006/customXml" ds:itemID="{F73359B8-CC6E-41EF-8FD7-6E7DC6F3C30F}">
  <ds:schemaRefs/>
</ds:datastoreItem>
</file>

<file path=customXml/itemProps13.xml><?xml version="1.0" encoding="utf-8"?>
<ds:datastoreItem xmlns:ds="http://schemas.openxmlformats.org/officeDocument/2006/customXml" ds:itemID="{25C07120-F60F-41C5-8848-2712264D18C3}">
  <ds:schemaRefs/>
</ds:datastoreItem>
</file>

<file path=customXml/itemProps14.xml><?xml version="1.0" encoding="utf-8"?>
<ds:datastoreItem xmlns:ds="http://schemas.openxmlformats.org/officeDocument/2006/customXml" ds:itemID="{28F2A2D0-508C-4007-AA7B-BA973307D253}">
  <ds:schemaRefs/>
</ds:datastoreItem>
</file>

<file path=customXml/itemProps15.xml><?xml version="1.0" encoding="utf-8"?>
<ds:datastoreItem xmlns:ds="http://schemas.openxmlformats.org/officeDocument/2006/customXml" ds:itemID="{84979D01-5CD5-42CB-A868-10208A68D865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457BB523-C578-4C70-94A0-F6DDA996EAA7}">
  <ds:schemaRefs/>
</ds:datastoreItem>
</file>

<file path=customXml/itemProps17.xml><?xml version="1.0" encoding="utf-8"?>
<ds:datastoreItem xmlns:ds="http://schemas.openxmlformats.org/officeDocument/2006/customXml" ds:itemID="{80F46845-9EE4-4C14-8CEE-B2C153F7D146}">
  <ds:schemaRefs/>
</ds:datastoreItem>
</file>

<file path=customXml/itemProps18.xml><?xml version="1.0" encoding="utf-8"?>
<ds:datastoreItem xmlns:ds="http://schemas.openxmlformats.org/officeDocument/2006/customXml" ds:itemID="{74657136-4BA3-45B5-9F5D-A7236D053D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 table</vt:lpstr>
      <vt:lpstr>transformed data</vt:lpstr>
      <vt:lpstr>raw data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2025-06-21T15:56:39Z</dcterms:created>
  <dcterms:modified xsi:type="dcterms:W3CDTF">2025-06-25T01:26:22Z</dcterms:modified>
</cp:coreProperties>
</file>