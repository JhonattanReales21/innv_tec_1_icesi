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combined_results\"/>
    </mc:Choice>
  </mc:AlternateContent>
  <xr:revisionPtr revIDLastSave="0" documentId="13_ncr:1_{AE99BA83-77D1-4061-9AFF-BF0829EABA68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Tabla Resumen" sheetId="7" r:id="rId1"/>
    <sheet name="pivot table 2" sheetId="6" r:id="rId2"/>
    <sheet name="transformed data" sheetId="1" r:id="rId3"/>
    <sheet name="Hoja1" sheetId="8" r:id="rId4"/>
    <sheet name="pivot table" sheetId="3" r:id="rId5"/>
    <sheet name="raw data results" sheetId="5" r:id="rId6"/>
  </sheets>
  <definedNames>
    <definedName name="_xlnm._FilterDatabase" localSheetId="2" hidden="1">'transformed data'!$A$2:$P$54</definedName>
    <definedName name="SegmentaciónDeDatos_SKU">#N/A</definedName>
    <definedName name="SegmentaciónDeDatos_SKU1">#N/A</definedName>
    <definedName name="SegmentaciónDeDatos_SKU2">#N/A</definedName>
  </definedNames>
  <calcPr calcId="191029"/>
  <pivotCaches>
    <pivotCache cacheId="24" r:id="rId7"/>
    <pivotCache cacheId="28" r:id="rId8"/>
    <pivotCache cacheId="43" r:id="rId9"/>
  </pivotCaches>
  <extLst>
    <ext xmlns:x14="http://schemas.microsoft.com/office/spreadsheetml/2009/9/main" uri="{876F7934-8845-4945-9796-88D515C7AA90}">
      <x14:pivotCaches>
        <pivotCache cacheId="19" r:id="rId10"/>
        <pivotCache cacheId="23" r:id="rId11"/>
        <pivotCache cacheId="27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7" l="1"/>
  <c r="P54" i="1" l="1"/>
  <c r="P52" i="1"/>
  <c r="P50" i="1"/>
  <c r="P49" i="1"/>
  <c r="P48" i="1"/>
  <c r="P47" i="1"/>
  <c r="P46" i="1"/>
  <c r="P44" i="1"/>
  <c r="P42" i="1"/>
  <c r="P40" i="1"/>
  <c r="P39" i="1"/>
  <c r="P38" i="1"/>
  <c r="P36" i="1"/>
  <c r="O5" i="1"/>
  <c r="N5" i="1"/>
  <c r="M5" i="1"/>
  <c r="L5" i="1"/>
  <c r="K5" i="1"/>
  <c r="J5" i="1"/>
  <c r="I5" i="1"/>
  <c r="O3" i="1"/>
  <c r="N3" i="1"/>
  <c r="M3" i="1"/>
  <c r="L3" i="1"/>
  <c r="K3" i="1"/>
  <c r="J3" i="1"/>
  <c r="I3" i="1"/>
  <c r="P6" i="1"/>
  <c r="P4" i="1"/>
  <c r="P53" i="1" l="1"/>
  <c r="P51" i="1"/>
  <c r="P41" i="1"/>
  <c r="P35" i="1"/>
  <c r="P37" i="1"/>
  <c r="P43" i="1"/>
  <c r="P45" i="1"/>
  <c r="P3" i="1"/>
  <c r="P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<sst xmlns="http://schemas.openxmlformats.org/spreadsheetml/2006/main" count="463" uniqueCount="128">
  <si>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</si>
  <si>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</si>
  <si>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</si>
  <si>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</si>
  <si>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</si>
  <si>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</si>
  <si>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</si>
  <si>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</si>
  <si>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</si>
  <si>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</si>
  <si>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</si>
  <si>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</si>
  <si>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</si>
  <si>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</si>
  <si>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</si>
  <si>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</si>
  <si>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</si>
  <si>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</si>
  <si>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</si>
  <si>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</si>
  <si>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</si>
  <si>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</si>
  <si>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</si>
  <si>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</si>
  <si>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</si>
  <si>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</si>
  <si>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</si>
  <si>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</si>
  <si>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</si>
  <si>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</si>
  <si>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</si>
  <si>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</si>
  <si>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</si>
  <si>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</si>
  <si>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</si>
  <si>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</si>
  <si>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</si>
  <si>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</si>
  <si>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</si>
  <si>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</si>
  <si>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</si>
  <si>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</si>
  <si>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</si>
  <si>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</si>
  <si>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</si>
  <si>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</si>
  <si>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</si>
  <si>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</si>
  <si>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</si>
  <si>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</si>
  <si>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</si>
  <si>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</si>
  <si>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</si>
  <si>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</si>
  <si>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</si>
  <si>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</si>
  <si>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</si>
  <si>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</si>
  <si>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Group</t>
  </si>
  <si>
    <t>Pedidos</t>
  </si>
  <si>
    <t>Total</t>
  </si>
  <si>
    <t>WMAPE</t>
  </si>
  <si>
    <t>Forecast (Und)</t>
  </si>
  <si>
    <t>Pedidos (Und)</t>
  </si>
  <si>
    <t>Producto</t>
  </si>
  <si>
    <t>Bias %</t>
  </si>
  <si>
    <t>MAPE  %</t>
  </si>
  <si>
    <t>Modelo</t>
  </si>
  <si>
    <t>forecast</t>
  </si>
  <si>
    <t>HW-Trend(add)-seasonal(add)-a0.05-b0.2-g0.25</t>
  </si>
  <si>
    <t>HW-Trend(add)-seasonal(add)-a0.21-b0.05-g0.16</t>
  </si>
  <si>
    <t>HW-Trend(add)-seasonal(add)-a0.05-b0.17-g0.09</t>
  </si>
  <si>
    <t>ARIMA(p1-d0-q2)</t>
  </si>
  <si>
    <t>HW-Trend(add)-seasonal(add)-a0.07-b0.09-g0.07</t>
  </si>
  <si>
    <t>HW-Trend(add)-seasonal(add)-a0.05-b0.2-g0.05</t>
  </si>
  <si>
    <t>HW-Trend(add)-seasonal(add)-a0.05-b0.22-g0.11</t>
  </si>
  <si>
    <t>HW-Trend(add)-seasonal(add)-a0.35-b0.14-g0.05</t>
  </si>
  <si>
    <t>HW-Trend(add)-seasonal(add)-a0.05-b0.17-g0.05</t>
  </si>
  <si>
    <t>ARIMA(p2-d0-q2)</t>
  </si>
  <si>
    <t>HW-Trend(add)-seasonal(add)-a0.05-b0.89-g0.1</t>
  </si>
  <si>
    <t>HW-Trend(add)-seasonal(mul)-a0.05-b0.2-g0.06</t>
  </si>
  <si>
    <t>HW-Trend(add)-seasonal(add)-a0.59-b0.58-g0.11</t>
  </si>
  <si>
    <t>HW-Trend(add)-seasonal(add)-a0.05-b0.07-g0.05</t>
  </si>
  <si>
    <t>HW-Trend(add)-seasonal(add)-a0.05-b0.27-g0.18</t>
  </si>
  <si>
    <t>HW-Trend(add)-seasonal(add)-a0.15-b0.05-g0.11</t>
  </si>
  <si>
    <t>HW-Trend(add)-seasonal(add)-a0.05-b0.33-g0.18</t>
  </si>
  <si>
    <t>HW-Trend(add)-seasonal(add)-a0.09-b0.05-g0.64</t>
  </si>
  <si>
    <t>ARIMA(p1-d1-q2)</t>
  </si>
  <si>
    <t>ARIMA(p2-d0-q1)</t>
  </si>
  <si>
    <t>HW-Trend(add)-seasonal(mul)-a0.05-b0.56-g0.14</t>
  </si>
  <si>
    <t>ARIMA(p0-d0-q1)</t>
  </si>
  <si>
    <t>HW-Trend(add)-seasonal(add)-a0.84-b0.21-g0.66</t>
  </si>
  <si>
    <t>HW-Trend(add)-seasonal(add)-a0.05-b0.2-g0.08</t>
  </si>
  <si>
    <t>Method</t>
  </si>
  <si>
    <t>Ventana Recursiva</t>
  </si>
  <si>
    <t>Ventana Fija</t>
  </si>
  <si>
    <t>Regresores</t>
  </si>
  <si>
    <t>Ventana Fija ST</t>
  </si>
  <si>
    <t>Ventana Recursiva ST</t>
  </si>
  <si>
    <t/>
  </si>
  <si>
    <t>Modelo Ganador</t>
  </si>
  <si>
    <t>HW-add-add-a0.4-b0.6-g0.4</t>
  </si>
  <si>
    <t>HW-add-add-a0.2-b0.4-g0.2</t>
  </si>
  <si>
    <t>HW-add-None-a0.6-b0.8-g0.2</t>
  </si>
  <si>
    <t>HW-add-add-a0.2-b0.6-g0.2</t>
  </si>
  <si>
    <t>HW-None-None-a0.2-b0.2-g0.2</t>
  </si>
  <si>
    <t>HW-add-add-a0.4-b0.8-g0.4</t>
  </si>
  <si>
    <t>XGBRegressor</t>
  </si>
  <si>
    <t>KNeighborsRegressor</t>
  </si>
  <si>
    <t>ElasticNet</t>
  </si>
  <si>
    <t>RandomForestRegressor</t>
  </si>
  <si>
    <t>Ventana Fija (últimos 7 días)</t>
  </si>
  <si>
    <t>Ventana Recursiva (3 Semanas)</t>
  </si>
  <si>
    <t>ARIMA</t>
  </si>
  <si>
    <t>HoltWinters</t>
  </si>
  <si>
    <t>XGBoost Regressor (Boosting)</t>
  </si>
  <si>
    <t>Random Forest Regressor (Bagging)</t>
  </si>
  <si>
    <t>Elastic Net (Modelo Lineal generalizado)</t>
  </si>
  <si>
    <t>KNN Regressor (instance based model)</t>
  </si>
  <si>
    <t>Protocolo</t>
  </si>
  <si>
    <t>Total general</t>
  </si>
  <si>
    <t>HW-mul-add-a0.2-b0.8-g0.2</t>
  </si>
  <si>
    <t>MAPE ST Ventana Fija</t>
  </si>
  <si>
    <t>MAPE Regresores</t>
  </si>
  <si>
    <t>MAPE ST Ventana Recursiva</t>
  </si>
  <si>
    <t xml:space="preserve"> Forecast</t>
  </si>
  <si>
    <t xml:space="preserve"> Pedidos</t>
  </si>
  <si>
    <t>PROMEDIO DEL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</si>
</sst>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9" fontId="0" fillId="2" borderId="0" xfId="0" applyNumberFormat="1" applyFill="1"/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0" fontId="0" fillId="7" borderId="0" xfId="0" applyNumberFormat="1" applyFill="1" applyAlignment="1">
      <alignment horizontal="center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578"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alignment horizontal="center"/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3" formatCode="#,##0"/>
    </dxf>
    <dxf>
      <numFmt numFmtId="3" formatCode="#,##0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4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[merge_results.xlsx]Tabla Resumen!TablaDinámica1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/>
              <a:t>MAPE por</a:t>
            </a:r>
            <a:r>
              <a:rPr lang="es-CO" baseline="0"/>
              <a:t> SKU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Resumen'!$E$3</c:f>
              <c:strCache>
                <c:ptCount val="1"/>
                <c:pt idx="0">
                  <c:v> Forecast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 Resumen'!$B$4:$D$29</c:f>
              <c:multiLvlStrCache>
                <c:ptCount val="26"/>
                <c:lvl>
                  <c:pt idx="0">
                    <c:v>MAPE ST Ventana Fija</c:v>
                  </c:pt>
                  <c:pt idx="1">
                    <c:v>MAPE ST Ventana Fija</c:v>
                  </c:pt>
                  <c:pt idx="2">
                    <c:v>MAPE ST Ventana Fija</c:v>
                  </c:pt>
                  <c:pt idx="3">
                    <c:v>MAPE ST Ventana Fija</c:v>
                  </c:pt>
                  <c:pt idx="4">
                    <c:v>MAPE ST Ventana Fija</c:v>
                  </c:pt>
                  <c:pt idx="5">
                    <c:v>MAPE ST Ventana Fija</c:v>
                  </c:pt>
                  <c:pt idx="6">
                    <c:v>MAPE Regresores</c:v>
                  </c:pt>
                  <c:pt idx="7">
                    <c:v>MAPE ST Ventana Fija</c:v>
                  </c:pt>
                  <c:pt idx="8">
                    <c:v>MAPE ST Ventana Fija</c:v>
                  </c:pt>
                  <c:pt idx="9">
                    <c:v>MAPE ST Ventana Fija</c:v>
                  </c:pt>
                  <c:pt idx="10">
                    <c:v>MAPE Regresores</c:v>
                  </c:pt>
                  <c:pt idx="11">
                    <c:v>MAPE ST Ventana Fija</c:v>
                  </c:pt>
                  <c:pt idx="12">
                    <c:v>MAPE Regresores</c:v>
                  </c:pt>
                  <c:pt idx="13">
                    <c:v>MAPE ST Ventana Recursiva</c:v>
                  </c:pt>
                  <c:pt idx="14">
                    <c:v>MAPE Regresores</c:v>
                  </c:pt>
                  <c:pt idx="15">
                    <c:v>MAPE ST Ventana Fija</c:v>
                  </c:pt>
                  <c:pt idx="16">
                    <c:v>MAPE Regresores</c:v>
                  </c:pt>
                  <c:pt idx="17">
                    <c:v>MAPE Regresores</c:v>
                  </c:pt>
                  <c:pt idx="18">
                    <c:v>MAPE Regresores</c:v>
                  </c:pt>
                  <c:pt idx="19">
                    <c:v>MAPE Regresores</c:v>
                  </c:pt>
                  <c:pt idx="20">
                    <c:v>MAPE Regresores</c:v>
                  </c:pt>
                  <c:pt idx="21">
                    <c:v>MAPE ST Ventana Fija</c:v>
                  </c:pt>
                  <c:pt idx="22">
                    <c:v>MAPE Regresores</c:v>
                  </c:pt>
                  <c:pt idx="23">
                    <c:v>MAPE ST Ventana Recursiva</c:v>
                  </c:pt>
                  <c:pt idx="24">
                    <c:v>MAPE ST Ventana Fija</c:v>
                  </c:pt>
                  <c:pt idx="25">
                    <c:v>MAPE ST Ventana Fija</c:v>
                  </c:pt>
                </c:lvl>
                <c:lvl>
                  <c:pt idx="0">
                    <c:v>HW-add-add-a0.2-b0.2-g0.2</c:v>
                  </c:pt>
                  <c:pt idx="1">
                    <c:v>HW-add-add-a0.2-b0.2-g0.2</c:v>
                  </c:pt>
                  <c:pt idx="2">
                    <c:v>HW-None-add-a0.8-b0.2-g0.2</c:v>
                  </c:pt>
                  <c:pt idx="3">
                    <c:v>HW-add-add-a0.4-b0.6-g0.4</c:v>
                  </c:pt>
                  <c:pt idx="4">
                    <c:v>HW-add-add-a0.2-b0.4-g0.2</c:v>
                  </c:pt>
                  <c:pt idx="5">
                    <c:v>HW-None-add-a0.2-b0.2-g0.2</c:v>
                  </c:pt>
                  <c:pt idx="6">
                    <c:v>HW-add-None-a0.6-b0.8-g0.2</c:v>
                  </c:pt>
                  <c:pt idx="7">
                    <c:v>XGBRegressor</c:v>
                  </c:pt>
                  <c:pt idx="8">
                    <c:v>HW-None-add-a0.2-b0.2-g0.2</c:v>
                  </c:pt>
                  <c:pt idx="9">
                    <c:v>HW-add-add-a0.2-b0.6-g0.2</c:v>
                  </c:pt>
                  <c:pt idx="10">
                    <c:v>HW-None-None-a0.2-b0.2-g0.2</c:v>
                  </c:pt>
                  <c:pt idx="11">
                    <c:v>KNeighborsRegressor</c:v>
                  </c:pt>
                  <c:pt idx="12">
                    <c:v>HW-None-add-a0.2-b0.2-g0.2</c:v>
                  </c:pt>
                  <c:pt idx="13">
                    <c:v>HW-Trend(add)-seasonal(add)-a0.05-b0.07-g0.05</c:v>
                  </c:pt>
                  <c:pt idx="14">
                    <c:v>HW-Trend(add)-seasonal(add)-a0.05-b0.07-g0.05</c:v>
                  </c:pt>
                  <c:pt idx="15">
                    <c:v>ElasticNet</c:v>
                  </c:pt>
                  <c:pt idx="16">
                    <c:v>HW-add-add-a0.6-b0.6-g0.2</c:v>
                  </c:pt>
                  <c:pt idx="17">
                    <c:v>RandomForestRegressor</c:v>
                  </c:pt>
                  <c:pt idx="18">
                    <c:v>ElasticNet</c:v>
                  </c:pt>
                  <c:pt idx="19">
                    <c:v>ElasticNet</c:v>
                  </c:pt>
                  <c:pt idx="20">
                    <c:v>ElasticNet</c:v>
                  </c:pt>
                  <c:pt idx="21">
                    <c:v>ElasticNet</c:v>
                  </c:pt>
                  <c:pt idx="22">
                    <c:v>HW-add-add-a0.2-b0.6-g0.2</c:v>
                  </c:pt>
                  <c:pt idx="23">
                    <c:v>HW-mul-add-a0.2-b0.8-g0.2</c:v>
                  </c:pt>
                  <c:pt idx="24">
                    <c:v>ARIMA(p0-d0-q1)</c:v>
                  </c:pt>
                  <c:pt idx="25">
                    <c:v>HW-add-add-a0.4-b0.8-g0.4</c:v>
                  </c:pt>
                </c:lvl>
                <c:lvl>
                  <c:pt idx="0">
                    <c:v>SKU1</c:v>
                  </c:pt>
                  <c:pt idx="1">
                    <c:v>SKU10</c:v>
                  </c:pt>
                  <c:pt idx="2">
                    <c:v>SKU11</c:v>
                  </c:pt>
                  <c:pt idx="3">
                    <c:v>SKU12</c:v>
                  </c:pt>
                  <c:pt idx="4">
                    <c:v>SKU13</c:v>
                  </c:pt>
                  <c:pt idx="5">
                    <c:v>SKU14</c:v>
                  </c:pt>
                  <c:pt idx="6">
                    <c:v>SKU15</c:v>
                  </c:pt>
                  <c:pt idx="7">
                    <c:v>SKU16</c:v>
                  </c:pt>
                  <c:pt idx="8">
                    <c:v>SKU17</c:v>
                  </c:pt>
                  <c:pt idx="9">
                    <c:v>SKU18</c:v>
                  </c:pt>
                  <c:pt idx="10">
                    <c:v>SKU19</c:v>
                  </c:pt>
                  <c:pt idx="11">
                    <c:v>SKU2</c:v>
                  </c:pt>
                  <c:pt idx="12">
                    <c:v>SKU20</c:v>
                  </c:pt>
                  <c:pt idx="13">
                    <c:v>SKU21</c:v>
                  </c:pt>
                  <c:pt idx="14">
                    <c:v>SKU22</c:v>
                  </c:pt>
                  <c:pt idx="15">
                    <c:v>SKU23</c:v>
                  </c:pt>
                  <c:pt idx="16">
                    <c:v>SKU24</c:v>
                  </c:pt>
                  <c:pt idx="17">
                    <c:v>SKU25</c:v>
                  </c:pt>
                  <c:pt idx="18">
                    <c:v>SKU26</c:v>
                  </c:pt>
                  <c:pt idx="19">
                    <c:v>SKU3</c:v>
                  </c:pt>
                  <c:pt idx="20">
                    <c:v>SKU4</c:v>
                  </c:pt>
                  <c:pt idx="21">
                    <c:v>SKU5</c:v>
                  </c:pt>
                  <c:pt idx="22">
                    <c:v>SKU6</c:v>
                  </c:pt>
                  <c:pt idx="23">
                    <c:v>SKU7</c:v>
                  </c:pt>
                  <c:pt idx="24">
                    <c:v>SKU8</c:v>
                  </c:pt>
                  <c:pt idx="25">
                    <c:v>SKU9</c:v>
                  </c:pt>
                </c:lvl>
              </c:multiLvlStrCache>
            </c:multiLvlStrRef>
          </c:cat>
          <c:val>
            <c:numRef>
              <c:f>'Tabla Resumen'!$E$4:$E$29</c:f>
              <c:numCache>
                <c:formatCode>#,##0</c:formatCode>
                <c:ptCount val="26"/>
                <c:pt idx="0">
                  <c:v>150487.9556176553</c:v>
                </c:pt>
                <c:pt idx="1">
                  <c:v>8243.8278700254559</c:v>
                </c:pt>
                <c:pt idx="2">
                  <c:v>7456.7076411238677</c:v>
                </c:pt>
                <c:pt idx="3">
                  <c:v>3699.2956957424981</c:v>
                </c:pt>
                <c:pt idx="4">
                  <c:v>3293.3698610603901</c:v>
                </c:pt>
                <c:pt idx="5">
                  <c:v>15144.397458490543</c:v>
                </c:pt>
                <c:pt idx="6">
                  <c:v>6810.1748657226472</c:v>
                </c:pt>
                <c:pt idx="7">
                  <c:v>24147.47544026043</c:v>
                </c:pt>
                <c:pt idx="8">
                  <c:v>82472.640865842768</c:v>
                </c:pt>
                <c:pt idx="9">
                  <c:v>15586.466960540558</c:v>
                </c:pt>
                <c:pt idx="10">
                  <c:v>23955</c:v>
                </c:pt>
                <c:pt idx="11">
                  <c:v>32269.107342975651</c:v>
                </c:pt>
                <c:pt idx="12">
                  <c:v>64601.066668526764</c:v>
                </c:pt>
                <c:pt idx="13">
                  <c:v>28900.162432287649</c:v>
                </c:pt>
                <c:pt idx="14">
                  <c:v>24229.776127345769</c:v>
                </c:pt>
                <c:pt idx="15">
                  <c:v>33808.032801183494</c:v>
                </c:pt>
                <c:pt idx="16">
                  <c:v>29432.423931623918</c:v>
                </c:pt>
                <c:pt idx="17">
                  <c:v>14531.363155721549</c:v>
                </c:pt>
                <c:pt idx="18">
                  <c:v>14240.584600225311</c:v>
                </c:pt>
                <c:pt idx="19">
                  <c:v>92054.890269520576</c:v>
                </c:pt>
                <c:pt idx="20">
                  <c:v>32699.097971436979</c:v>
                </c:pt>
                <c:pt idx="21">
                  <c:v>102332.40051479753</c:v>
                </c:pt>
                <c:pt idx="22">
                  <c:v>20922.03054300752</c:v>
                </c:pt>
                <c:pt idx="23">
                  <c:v>69332.629724448096</c:v>
                </c:pt>
                <c:pt idx="24">
                  <c:v>8585.8988542080369</c:v>
                </c:pt>
                <c:pt idx="25">
                  <c:v>5970.1806203764727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3F-45BE-A1A8-20AEFB8C7F5D}"/>
            </c:ext>
          </c:extLst>
        </c:ser>
        <c:ser>
          <c:idx val="1"/>
          <c:order val="1"/>
          <c:tx>
            <c:strRef>
              <c:f>'Tabla Resumen'!$F$3</c:f>
              <c:strCache>
                <c:ptCount val="1"/>
                <c:pt idx="0">
                  <c:v> Pedidos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 Resumen'!$B$4:$D$29</c:f>
              <c:multiLvlStrCache>
                <c:ptCount val="26"/>
                <c:lvl>
                  <c:pt idx="0">
                    <c:v>MAPE ST Ventana Fija</c:v>
                  </c:pt>
                  <c:pt idx="1">
                    <c:v>MAPE ST Ventana Fija</c:v>
                  </c:pt>
                  <c:pt idx="2">
                    <c:v>MAPE ST Ventana Fija</c:v>
                  </c:pt>
                  <c:pt idx="3">
                    <c:v>MAPE ST Ventana Fija</c:v>
                  </c:pt>
                  <c:pt idx="4">
                    <c:v>MAPE ST Ventana Fija</c:v>
                  </c:pt>
                  <c:pt idx="5">
                    <c:v>MAPE ST Ventana Fija</c:v>
                  </c:pt>
                  <c:pt idx="6">
                    <c:v>MAPE Regresores</c:v>
                  </c:pt>
                  <c:pt idx="7">
                    <c:v>MAPE ST Ventana Fija</c:v>
                  </c:pt>
                  <c:pt idx="8">
                    <c:v>MAPE ST Ventana Fija</c:v>
                  </c:pt>
                  <c:pt idx="9">
                    <c:v>MAPE ST Ventana Fija</c:v>
                  </c:pt>
                  <c:pt idx="10">
                    <c:v>MAPE Regresores</c:v>
                  </c:pt>
                  <c:pt idx="11">
                    <c:v>MAPE ST Ventana Fija</c:v>
                  </c:pt>
                  <c:pt idx="12">
                    <c:v>MAPE Regresores</c:v>
                  </c:pt>
                  <c:pt idx="13">
                    <c:v>MAPE ST Ventana Recursiva</c:v>
                  </c:pt>
                  <c:pt idx="14">
                    <c:v>MAPE Regresores</c:v>
                  </c:pt>
                  <c:pt idx="15">
                    <c:v>MAPE ST Ventana Fija</c:v>
                  </c:pt>
                  <c:pt idx="16">
                    <c:v>MAPE Regresores</c:v>
                  </c:pt>
                  <c:pt idx="17">
                    <c:v>MAPE Regresores</c:v>
                  </c:pt>
                  <c:pt idx="18">
                    <c:v>MAPE Regresores</c:v>
                  </c:pt>
                  <c:pt idx="19">
                    <c:v>MAPE Regresores</c:v>
                  </c:pt>
                  <c:pt idx="20">
                    <c:v>MAPE Regresores</c:v>
                  </c:pt>
                  <c:pt idx="21">
                    <c:v>MAPE ST Ventana Fija</c:v>
                  </c:pt>
                  <c:pt idx="22">
                    <c:v>MAPE Regresores</c:v>
                  </c:pt>
                  <c:pt idx="23">
                    <c:v>MAPE ST Ventana Recursiva</c:v>
                  </c:pt>
                  <c:pt idx="24">
                    <c:v>MAPE ST Ventana Fija</c:v>
                  </c:pt>
                  <c:pt idx="25">
                    <c:v>MAPE ST Ventana Fija</c:v>
                  </c:pt>
                </c:lvl>
                <c:lvl>
                  <c:pt idx="0">
                    <c:v>HW-add-add-a0.2-b0.2-g0.2</c:v>
                  </c:pt>
                  <c:pt idx="1">
                    <c:v>HW-add-add-a0.2-b0.2-g0.2</c:v>
                  </c:pt>
                  <c:pt idx="2">
                    <c:v>HW-None-add-a0.8-b0.2-g0.2</c:v>
                  </c:pt>
                  <c:pt idx="3">
                    <c:v>HW-add-add-a0.4-b0.6-g0.4</c:v>
                  </c:pt>
                  <c:pt idx="4">
                    <c:v>HW-add-add-a0.2-b0.4-g0.2</c:v>
                  </c:pt>
                  <c:pt idx="5">
                    <c:v>HW-None-add-a0.2-b0.2-g0.2</c:v>
                  </c:pt>
                  <c:pt idx="6">
                    <c:v>HW-add-None-a0.6-b0.8-g0.2</c:v>
                  </c:pt>
                  <c:pt idx="7">
                    <c:v>XGBRegressor</c:v>
                  </c:pt>
                  <c:pt idx="8">
                    <c:v>HW-None-add-a0.2-b0.2-g0.2</c:v>
                  </c:pt>
                  <c:pt idx="9">
                    <c:v>HW-add-add-a0.2-b0.6-g0.2</c:v>
                  </c:pt>
                  <c:pt idx="10">
                    <c:v>HW-None-None-a0.2-b0.2-g0.2</c:v>
                  </c:pt>
                  <c:pt idx="11">
                    <c:v>KNeighborsRegressor</c:v>
                  </c:pt>
                  <c:pt idx="12">
                    <c:v>HW-None-add-a0.2-b0.2-g0.2</c:v>
                  </c:pt>
                  <c:pt idx="13">
                    <c:v>HW-Trend(add)-seasonal(add)-a0.05-b0.07-g0.05</c:v>
                  </c:pt>
                  <c:pt idx="14">
                    <c:v>HW-Trend(add)-seasonal(add)-a0.05-b0.07-g0.05</c:v>
                  </c:pt>
                  <c:pt idx="15">
                    <c:v>ElasticNet</c:v>
                  </c:pt>
                  <c:pt idx="16">
                    <c:v>HW-add-add-a0.6-b0.6-g0.2</c:v>
                  </c:pt>
                  <c:pt idx="17">
                    <c:v>RandomForestRegressor</c:v>
                  </c:pt>
                  <c:pt idx="18">
                    <c:v>ElasticNet</c:v>
                  </c:pt>
                  <c:pt idx="19">
                    <c:v>ElasticNet</c:v>
                  </c:pt>
                  <c:pt idx="20">
                    <c:v>ElasticNet</c:v>
                  </c:pt>
                  <c:pt idx="21">
                    <c:v>ElasticNet</c:v>
                  </c:pt>
                  <c:pt idx="22">
                    <c:v>HW-add-add-a0.2-b0.6-g0.2</c:v>
                  </c:pt>
                  <c:pt idx="23">
                    <c:v>HW-mul-add-a0.2-b0.8-g0.2</c:v>
                  </c:pt>
                  <c:pt idx="24">
                    <c:v>ARIMA(p0-d0-q1)</c:v>
                  </c:pt>
                  <c:pt idx="25">
                    <c:v>HW-add-add-a0.4-b0.8-g0.4</c:v>
                  </c:pt>
                </c:lvl>
                <c:lvl>
                  <c:pt idx="0">
                    <c:v>SKU1</c:v>
                  </c:pt>
                  <c:pt idx="1">
                    <c:v>SKU10</c:v>
                  </c:pt>
                  <c:pt idx="2">
                    <c:v>SKU11</c:v>
                  </c:pt>
                  <c:pt idx="3">
                    <c:v>SKU12</c:v>
                  </c:pt>
                  <c:pt idx="4">
                    <c:v>SKU13</c:v>
                  </c:pt>
                  <c:pt idx="5">
                    <c:v>SKU14</c:v>
                  </c:pt>
                  <c:pt idx="6">
                    <c:v>SKU15</c:v>
                  </c:pt>
                  <c:pt idx="7">
                    <c:v>SKU16</c:v>
                  </c:pt>
                  <c:pt idx="8">
                    <c:v>SKU17</c:v>
                  </c:pt>
                  <c:pt idx="9">
                    <c:v>SKU18</c:v>
                  </c:pt>
                  <c:pt idx="10">
                    <c:v>SKU19</c:v>
                  </c:pt>
                  <c:pt idx="11">
                    <c:v>SKU2</c:v>
                  </c:pt>
                  <c:pt idx="12">
                    <c:v>SKU20</c:v>
                  </c:pt>
                  <c:pt idx="13">
                    <c:v>SKU21</c:v>
                  </c:pt>
                  <c:pt idx="14">
                    <c:v>SKU22</c:v>
                  </c:pt>
                  <c:pt idx="15">
                    <c:v>SKU23</c:v>
                  </c:pt>
                  <c:pt idx="16">
                    <c:v>SKU24</c:v>
                  </c:pt>
                  <c:pt idx="17">
                    <c:v>SKU25</c:v>
                  </c:pt>
                  <c:pt idx="18">
                    <c:v>SKU26</c:v>
                  </c:pt>
                  <c:pt idx="19">
                    <c:v>SKU3</c:v>
                  </c:pt>
                  <c:pt idx="20">
                    <c:v>SKU4</c:v>
                  </c:pt>
                  <c:pt idx="21">
                    <c:v>SKU5</c:v>
                  </c:pt>
                  <c:pt idx="22">
                    <c:v>SKU6</c:v>
                  </c:pt>
                  <c:pt idx="23">
                    <c:v>SKU7</c:v>
                  </c:pt>
                  <c:pt idx="24">
                    <c:v>SKU8</c:v>
                  </c:pt>
                  <c:pt idx="25">
                    <c:v>SKU9</c:v>
                  </c:pt>
                </c:lvl>
              </c:multiLvlStrCache>
            </c:multiLvlStrRef>
          </c:cat>
          <c:val>
            <c:numRef>
              <c:f>'Tabla Resumen'!$F$4:$F$29</c:f>
              <c:numCache>
                <c:formatCode>#,##0</c:formatCode>
                <c:ptCount val="26"/>
                <c:pt idx="0">
                  <c:v>140520</c:v>
                </c:pt>
                <c:pt idx="1">
                  <c:v>9180</c:v>
                </c:pt>
                <c:pt idx="2">
                  <c:v>7200</c:v>
                </c:pt>
                <c:pt idx="3">
                  <c:v>3900</c:v>
                </c:pt>
                <c:pt idx="4">
                  <c:v>3900</c:v>
                </c:pt>
                <c:pt idx="5">
                  <c:v>15840</c:v>
                </c:pt>
                <c:pt idx="6">
                  <c:v>6960</c:v>
                </c:pt>
                <c:pt idx="7">
                  <c:v>24600</c:v>
                </c:pt>
                <c:pt idx="8">
                  <c:v>82871</c:v>
                </c:pt>
                <c:pt idx="9">
                  <c:v>15120</c:v>
                </c:pt>
                <c:pt idx="10">
                  <c:v>27720</c:v>
                </c:pt>
                <c:pt idx="11">
                  <c:v>33900</c:v>
                </c:pt>
                <c:pt idx="12">
                  <c:v>60360</c:v>
                </c:pt>
                <c:pt idx="13">
                  <c:v>30600</c:v>
                </c:pt>
                <c:pt idx="14">
                  <c:v>25080</c:v>
                </c:pt>
                <c:pt idx="15">
                  <c:v>33600</c:v>
                </c:pt>
                <c:pt idx="16">
                  <c:v>28560</c:v>
                </c:pt>
                <c:pt idx="17">
                  <c:v>14280</c:v>
                </c:pt>
                <c:pt idx="18">
                  <c:v>16080</c:v>
                </c:pt>
                <c:pt idx="19">
                  <c:v>90000</c:v>
                </c:pt>
                <c:pt idx="20">
                  <c:v>30600</c:v>
                </c:pt>
                <c:pt idx="21">
                  <c:v>101400</c:v>
                </c:pt>
                <c:pt idx="22">
                  <c:v>20850</c:v>
                </c:pt>
                <c:pt idx="23">
                  <c:v>70200</c:v>
                </c:pt>
                <c:pt idx="24">
                  <c:v>14760</c:v>
                </c:pt>
                <c:pt idx="25">
                  <c:v>7380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AE4-41C1-8E9B-8F3B378F3E92}"/>
            </c:ext>
          </c:extLst>
        </c:ser>
        <c:ser>
          <c:idx val="2"/>
          <c:order val="2"/>
          <c:tx>
            <c:strRef>
              <c:f>'Tabla Resumen'!$G$3</c:f>
              <c:strCache>
                <c:ptCount val="1"/>
                <c:pt idx="0">
                  <c:v>MAPE  %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 Resumen'!$B$4:$D$29</c:f>
              <c:multiLvlStrCache>
                <c:ptCount val="26"/>
                <c:lvl>
                  <c:pt idx="0">
                    <c:v>MAPE ST Ventana Fija</c:v>
                  </c:pt>
                  <c:pt idx="1">
                    <c:v>MAPE ST Ventana Fija</c:v>
                  </c:pt>
                  <c:pt idx="2">
                    <c:v>MAPE ST Ventana Fija</c:v>
                  </c:pt>
                  <c:pt idx="3">
                    <c:v>MAPE ST Ventana Fija</c:v>
                  </c:pt>
                  <c:pt idx="4">
                    <c:v>MAPE ST Ventana Fija</c:v>
                  </c:pt>
                  <c:pt idx="5">
                    <c:v>MAPE ST Ventana Fija</c:v>
                  </c:pt>
                  <c:pt idx="6">
                    <c:v>MAPE Regresores</c:v>
                  </c:pt>
                  <c:pt idx="7">
                    <c:v>MAPE ST Ventana Fija</c:v>
                  </c:pt>
                  <c:pt idx="8">
                    <c:v>MAPE ST Ventana Fija</c:v>
                  </c:pt>
                  <c:pt idx="9">
                    <c:v>MAPE ST Ventana Fija</c:v>
                  </c:pt>
                  <c:pt idx="10">
                    <c:v>MAPE Regresores</c:v>
                  </c:pt>
                  <c:pt idx="11">
                    <c:v>MAPE ST Ventana Fija</c:v>
                  </c:pt>
                  <c:pt idx="12">
                    <c:v>MAPE Regresores</c:v>
                  </c:pt>
                  <c:pt idx="13">
                    <c:v>MAPE ST Ventana Recursiva</c:v>
                  </c:pt>
                  <c:pt idx="14">
                    <c:v>MAPE Regresores</c:v>
                  </c:pt>
                  <c:pt idx="15">
                    <c:v>MAPE ST Ventana Fija</c:v>
                  </c:pt>
                  <c:pt idx="16">
                    <c:v>MAPE Regresores</c:v>
                  </c:pt>
                  <c:pt idx="17">
                    <c:v>MAPE Regresores</c:v>
                  </c:pt>
                  <c:pt idx="18">
                    <c:v>MAPE Regresores</c:v>
                  </c:pt>
                  <c:pt idx="19">
                    <c:v>MAPE Regresores</c:v>
                  </c:pt>
                  <c:pt idx="20">
                    <c:v>MAPE Regresores</c:v>
                  </c:pt>
                  <c:pt idx="21">
                    <c:v>MAPE ST Ventana Fija</c:v>
                  </c:pt>
                  <c:pt idx="22">
                    <c:v>MAPE Regresores</c:v>
                  </c:pt>
                  <c:pt idx="23">
                    <c:v>MAPE ST Ventana Recursiva</c:v>
                  </c:pt>
                  <c:pt idx="24">
                    <c:v>MAPE ST Ventana Fija</c:v>
                  </c:pt>
                  <c:pt idx="25">
                    <c:v>MAPE ST Ventana Fija</c:v>
                  </c:pt>
                </c:lvl>
                <c:lvl>
                  <c:pt idx="0">
                    <c:v>HW-add-add-a0.2-b0.2-g0.2</c:v>
                  </c:pt>
                  <c:pt idx="1">
                    <c:v>HW-add-add-a0.2-b0.2-g0.2</c:v>
                  </c:pt>
                  <c:pt idx="2">
                    <c:v>HW-None-add-a0.8-b0.2-g0.2</c:v>
                  </c:pt>
                  <c:pt idx="3">
                    <c:v>HW-add-add-a0.4-b0.6-g0.4</c:v>
                  </c:pt>
                  <c:pt idx="4">
                    <c:v>HW-add-add-a0.2-b0.4-g0.2</c:v>
                  </c:pt>
                  <c:pt idx="5">
                    <c:v>HW-None-add-a0.2-b0.2-g0.2</c:v>
                  </c:pt>
                  <c:pt idx="6">
                    <c:v>HW-add-None-a0.6-b0.8-g0.2</c:v>
                  </c:pt>
                  <c:pt idx="7">
                    <c:v>XGBRegressor</c:v>
                  </c:pt>
                  <c:pt idx="8">
                    <c:v>HW-None-add-a0.2-b0.2-g0.2</c:v>
                  </c:pt>
                  <c:pt idx="9">
                    <c:v>HW-add-add-a0.2-b0.6-g0.2</c:v>
                  </c:pt>
                  <c:pt idx="10">
                    <c:v>HW-None-None-a0.2-b0.2-g0.2</c:v>
                  </c:pt>
                  <c:pt idx="11">
                    <c:v>KNeighborsRegressor</c:v>
                  </c:pt>
                  <c:pt idx="12">
                    <c:v>HW-None-add-a0.2-b0.2-g0.2</c:v>
                  </c:pt>
                  <c:pt idx="13">
                    <c:v>HW-Trend(add)-seasonal(add)-a0.05-b0.07-g0.05</c:v>
                  </c:pt>
                  <c:pt idx="14">
                    <c:v>HW-Trend(add)-seasonal(add)-a0.05-b0.07-g0.05</c:v>
                  </c:pt>
                  <c:pt idx="15">
                    <c:v>ElasticNet</c:v>
                  </c:pt>
                  <c:pt idx="16">
                    <c:v>HW-add-add-a0.6-b0.6-g0.2</c:v>
                  </c:pt>
                  <c:pt idx="17">
                    <c:v>RandomForestRegressor</c:v>
                  </c:pt>
                  <c:pt idx="18">
                    <c:v>ElasticNet</c:v>
                  </c:pt>
                  <c:pt idx="19">
                    <c:v>ElasticNet</c:v>
                  </c:pt>
                  <c:pt idx="20">
                    <c:v>ElasticNet</c:v>
                  </c:pt>
                  <c:pt idx="21">
                    <c:v>ElasticNet</c:v>
                  </c:pt>
                  <c:pt idx="22">
                    <c:v>HW-add-add-a0.2-b0.6-g0.2</c:v>
                  </c:pt>
                  <c:pt idx="23">
                    <c:v>HW-mul-add-a0.2-b0.8-g0.2</c:v>
                  </c:pt>
                  <c:pt idx="24">
                    <c:v>ARIMA(p0-d0-q1)</c:v>
                  </c:pt>
                  <c:pt idx="25">
                    <c:v>HW-add-add-a0.4-b0.8-g0.4</c:v>
                  </c:pt>
                </c:lvl>
                <c:lvl>
                  <c:pt idx="0">
                    <c:v>SKU1</c:v>
                  </c:pt>
                  <c:pt idx="1">
                    <c:v>SKU10</c:v>
                  </c:pt>
                  <c:pt idx="2">
                    <c:v>SKU11</c:v>
                  </c:pt>
                  <c:pt idx="3">
                    <c:v>SKU12</c:v>
                  </c:pt>
                  <c:pt idx="4">
                    <c:v>SKU13</c:v>
                  </c:pt>
                  <c:pt idx="5">
                    <c:v>SKU14</c:v>
                  </c:pt>
                  <c:pt idx="6">
                    <c:v>SKU15</c:v>
                  </c:pt>
                  <c:pt idx="7">
                    <c:v>SKU16</c:v>
                  </c:pt>
                  <c:pt idx="8">
                    <c:v>SKU17</c:v>
                  </c:pt>
                  <c:pt idx="9">
                    <c:v>SKU18</c:v>
                  </c:pt>
                  <c:pt idx="10">
                    <c:v>SKU19</c:v>
                  </c:pt>
                  <c:pt idx="11">
                    <c:v>SKU2</c:v>
                  </c:pt>
                  <c:pt idx="12">
                    <c:v>SKU20</c:v>
                  </c:pt>
                  <c:pt idx="13">
                    <c:v>SKU21</c:v>
                  </c:pt>
                  <c:pt idx="14">
                    <c:v>SKU22</c:v>
                  </c:pt>
                  <c:pt idx="15">
                    <c:v>SKU23</c:v>
                  </c:pt>
                  <c:pt idx="16">
                    <c:v>SKU24</c:v>
                  </c:pt>
                  <c:pt idx="17">
                    <c:v>SKU25</c:v>
                  </c:pt>
                  <c:pt idx="18">
                    <c:v>SKU26</c:v>
                  </c:pt>
                  <c:pt idx="19">
                    <c:v>SKU3</c:v>
                  </c:pt>
                  <c:pt idx="20">
                    <c:v>SKU4</c:v>
                  </c:pt>
                  <c:pt idx="21">
                    <c:v>SKU5</c:v>
                  </c:pt>
                  <c:pt idx="22">
                    <c:v>SKU6</c:v>
                  </c:pt>
                  <c:pt idx="23">
                    <c:v>SKU7</c:v>
                  </c:pt>
                  <c:pt idx="24">
                    <c:v>SKU8</c:v>
                  </c:pt>
                  <c:pt idx="25">
                    <c:v>SKU9</c:v>
                  </c:pt>
                </c:lvl>
              </c:multiLvlStrCache>
            </c:multiLvlStrRef>
          </c:cat>
          <c:val>
            <c:numRef>
              <c:f>'Tabla Resumen'!$G$4:$G$29</c:f>
              <c:numCache>
                <c:formatCode>0.00%</c:formatCode>
                <c:ptCount val="26"/>
                <c:pt idx="0">
                  <c:v>7.0936205647988193E-2</c:v>
                </c:pt>
                <c:pt idx="1">
                  <c:v>0.10197953485561483</c:v>
                </c:pt>
                <c:pt idx="2">
                  <c:v>3.5653839044981622E-2</c:v>
                </c:pt>
                <c:pt idx="3">
                  <c:v>5.1462642117308187E-2</c:v>
                </c:pt>
                <c:pt idx="4">
                  <c:v>0.15554618947169485</c:v>
                </c:pt>
                <c:pt idx="5">
                  <c:v>4.3914301862970788E-2</c:v>
                </c:pt>
                <c:pt idx="6">
                  <c:v>2.1526599752493224E-2</c:v>
                </c:pt>
                <c:pt idx="7">
                  <c:v>1.8395307306486572E-2</c:v>
                </c:pt>
                <c:pt idx="8">
                  <c:v>4.8069787278690003E-3</c:v>
                </c:pt>
                <c:pt idx="9">
                  <c:v>3.0850989453740603E-2</c:v>
                </c:pt>
                <c:pt idx="10">
                  <c:v>0.13582251082251082</c:v>
                </c:pt>
                <c:pt idx="11">
                  <c:v>4.8108927935821513E-2</c:v>
                </c:pt>
                <c:pt idx="12">
                  <c:v>7.0262867271815174E-2</c:v>
                </c:pt>
                <c:pt idx="13">
                  <c:v>5.5550247310861153E-2</c:v>
                </c:pt>
                <c:pt idx="14">
                  <c:v>3.3900473391317021E-2</c:v>
                </c:pt>
                <c:pt idx="15">
                  <c:v>6.1914524161754041E-3</c:v>
                </c:pt>
                <c:pt idx="16">
                  <c:v>3.05470564294089E-2</c:v>
                </c:pt>
                <c:pt idx="17">
                  <c:v>1.7602461885262502E-2</c:v>
                </c:pt>
                <c:pt idx="18">
                  <c:v>0.1143915049611125</c:v>
                </c:pt>
                <c:pt idx="19">
                  <c:v>2.2832114105784181E-2</c:v>
                </c:pt>
                <c:pt idx="20">
                  <c:v>6.8597972922777084E-2</c:v>
                </c:pt>
                <c:pt idx="21">
                  <c:v>9.1952713490880255E-3</c:v>
                </c:pt>
                <c:pt idx="22">
                  <c:v>3.4547023025189669E-3</c:v>
                </c:pt>
                <c:pt idx="23">
                  <c:v>1.2355701930938809E-2</c:v>
                </c:pt>
                <c:pt idx="24">
                  <c:v>0.41829953562276173</c:v>
                </c:pt>
                <c:pt idx="25">
                  <c:v>0.19103243626335059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AE4-41C1-8E9B-8F3B378F3E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5069072"/>
        <c:axId val="255069552"/>
      </c:lineChart>
      <c:catAx>
        <c:axId val="25506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5069552"/>
        <c:crosses val="autoZero"/>
        <c:auto val="1"/>
        <c:lblAlgn val="ctr"/>
        <c:lblOffset val="100"/>
        <c:noMultiLvlLbl val="0"/>
      </c:catAx>
      <c:valAx>
        <c:axId val="2550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506907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8982</xdr:colOff>
      <xdr:row>5</xdr:row>
      <xdr:rowOff>100819</xdr:rowOff>
    </xdr:from>
    <xdr:to>
      <xdr:col>18</xdr:col>
      <xdr:colOff>592536</xdr:colOff>
      <xdr:row>14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 2">
              <a:extLst>
                <a:ext uri="{FF2B5EF4-FFF2-40B4-BE49-F238E27FC236}">
                  <a16:creationId xmlns:a16="http://schemas.microsoft.com/office/drawing/2014/main" id="{85148B77-F965-4E37-B49A-C663DD946D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7765" y="1053319"/>
              <a:ext cx="1834228" cy="351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16</xdr:col>
      <xdr:colOff>1058513</xdr:colOff>
      <xdr:row>1</xdr:row>
      <xdr:rowOff>144117</xdr:rowOff>
    </xdr:from>
    <xdr:to>
      <xdr:col>29</xdr:col>
      <xdr:colOff>49693</xdr:colOff>
      <xdr:row>21</xdr:row>
      <xdr:rowOff>339586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F46B45-A34A-0061-6150-FA025196B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58677</xdr:colOff>
      <xdr:row>1</xdr:row>
      <xdr:rowOff>125667</xdr:rowOff>
    </xdr:from>
    <xdr:to>
      <xdr:col>12</xdr:col>
      <xdr:colOff>273326</xdr:colOff>
      <xdr:row>27</xdr:row>
      <xdr:rowOff>140804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 1">
              <a:extLst>
                <a:ext uri="{FF2B5EF4-FFF2-40B4-BE49-F238E27FC236}">
                  <a16:creationId xmlns:a16="http://schemas.microsoft.com/office/drawing/2014/main" id="{B68F32E4-183C-42A6-A7A7-08ECBACB3C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6786" y="316167"/>
              <a:ext cx="2658018" cy="49681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8982</xdr:colOff>
      <xdr:row>5</xdr:row>
      <xdr:rowOff>100819</xdr:rowOff>
    </xdr:from>
    <xdr:to>
      <xdr:col>19</xdr:col>
      <xdr:colOff>592536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91243" y="1053319"/>
              <a:ext cx="1834228" cy="351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3.870804398146" createdVersion="5" refreshedVersion="8" minRefreshableVersion="3" recordCount="0" supportSubquery="1" supportAdvancedDrill="1" xr:uid="{96A96075-BF75-4440-BB03-DBC4E3FC5B32}">
  <cacheSource type="external" connectionId="2"/>
  <cacheFields count="8">
    <cacheField name="[Tabla1].[SKU].[SKU]" caption="SKU" numFmtId="0" hierarchy="1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3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6" level="32767"/>
    <cacheField name="[Measures].[Suma de Pedidos]" caption="Suma de Pedidos" numFmtId="0" hierarchy="7" level="32767"/>
    <cacheField name="[Measures].[WMAPE]" caption="WMAPE" numFmtId="0" hierarchy="8" level="32767"/>
    <cacheField name="[Measures].[Bias %]" caption="Bias %" numFmtId="0" hierarchy="10" level="32767"/>
    <cacheField name="[Measures].[MAPE Total %]" caption="MAPE Total %" numFmtId="0" hierarchy="11" level="32767"/>
    <cacheField name="[Tabla1].[Method].[Method]" caption="Method" numFmtId="0" level="1">
      <sharedItems count="3">
        <s v="Regresores"/>
        <s v="Ventana Fija"/>
        <s v="Ventana Recursiva"/>
      </sharedItems>
    </cacheField>
  </cacheFields>
  <cacheHierarchies count="14">
    <cacheHierarchy uniqueName="[Tabla1].[Method]" caption="Method" attribute="1" defaultMemberUniqueName="[Tabla1].[Method].[All]" allUniqueName="[Tabla1].[Method].[All]" dimensionUniqueName="[Tabla1]" displayFolder="" count="2" memberValueDatatype="130" unbalanced="0">
      <fieldsUsage count="2">
        <fieldUsage x="-1"/>
        <fieldUsage x="7"/>
      </fieldsUsage>
    </cacheHierarchy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Modelo Ganador]" caption="Modelo Ganador" attribute="1" defaultMemberUniqueName="[Tabla1].[Modelo Ganador].[All]" allUniqueName="[Tabla1].[Modelo Ganador].[All]" dimensionUniqueName="[Tabla1]" displayFolder="" count="0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3.870808680556" createdVersion="5" refreshedVersion="8" minRefreshableVersion="3" recordCount="0" supportSubquery="1" supportAdvancedDrill="1" xr:uid="{C4CB9743-F4F7-4E3B-BA8D-6E96F57B95F5}">
  <cacheSource type="external" connectionId="2"/>
  <cacheFields count="8">
    <cacheField name="[Tabla1].[SKU].[SKU]" caption="SKU" numFmtId="0" hierarchy="1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3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6" level="32767"/>
    <cacheField name="[Measures].[Suma de Pedidos]" caption="Suma de Pedidos" numFmtId="0" hierarchy="7" level="32767"/>
    <cacheField name="[Measures].[WMAPE]" caption="WMAPE" numFmtId="0" hierarchy="8" level="32767"/>
    <cacheField name="[Measures].[Bias %]" caption="Bias %" numFmtId="0" hierarchy="10" level="32767"/>
    <cacheField name="[Measures].[MAPE Total %]" caption="MAPE Total %" numFmtId="0" hierarchy="11" level="32767"/>
    <cacheField name="[Tabla1].[Method].[Method]" caption="Method" numFmtId="0" level="1">
      <sharedItems count="3">
        <s v="Regresores"/>
        <s v="Ventana Fija"/>
        <s v="Ventana Recursiva"/>
      </sharedItems>
    </cacheField>
  </cacheFields>
  <cacheHierarchies count="14">
    <cacheHierarchy uniqueName="[Tabla1].[Method]" caption="Method" attribute="1" defaultMemberUniqueName="[Tabla1].[Method].[All]" allUniqueName="[Tabla1].[Method].[All]" dimensionUniqueName="[Tabla1]" displayFolder="" count="2" memberValueDatatype="130" unbalanced="0">
      <fieldsUsage count="2">
        <fieldUsage x="-1"/>
        <fieldUsage x="7"/>
      </fieldsUsage>
    </cacheHierarchy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Modelo Ganador]" caption="Modelo Ganador" attribute="1" defaultMemberUniqueName="[Tabla1].[Modelo Ganador].[All]" allUniqueName="[Tabla1].[Modelo Ganador].[All]" dimensionUniqueName="[Tabla1]" displayFolder="" count="0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3.872956250001" createdVersion="5" refreshedVersion="8" minRefreshableVersion="3" recordCount="0" supportSubquery="1" supportAdvancedDrill="1" xr:uid="{4724170F-5532-4ACA-8E9D-B85E0DB8A40C}">
  <cacheSource type="external" connectionId="2"/>
  <cacheFields count="6">
    <cacheField name="[Tabla1].[SKU].[SKU]" caption="SKU" numFmtId="0" hierarchy="1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Measures].[MAPE Total %]" caption="MAPE Total %" numFmtId="0" hierarchy="11" level="32767"/>
    <cacheField name="[Tabla1].[Method].[Method]" caption="Method" numFmtId="0" level="1">
      <sharedItems count="3">
        <s v="Ventana Fija"/>
        <s v="Regresores"/>
        <s v="Ventana Recursiva"/>
      </sharedItems>
    </cacheField>
    <cacheField name="[Tabla1].[Modelo Ganador].[Modelo Ganador]" caption="Modelo Ganador" numFmtId="0" hierarchy="2" level="1">
      <sharedItems count="17">
        <s v="HW-add-add-a0.2-b0.2-g0.2"/>
        <s v="HW-None-add-a0.8-b0.2-g0.2"/>
        <s v="HW-add-add-a0.4-b0.6-g0.4"/>
        <s v="HW-add-add-a0.2-b0.4-g0.2"/>
        <s v="HW-None-add-a0.2-b0.2-g0.2"/>
        <s v="HW-add-None-a0.6-b0.8-g0.2"/>
        <s v="XGBRegressor"/>
        <s v="HW-add-add-a0.2-b0.6-g0.2"/>
        <s v="HW-None-None-a0.2-b0.2-g0.2"/>
        <s v="KNeighborsRegressor"/>
        <s v="HW-Trend(add)-seasonal(add)-a0.05-b0.07-g0.05"/>
        <s v="ElasticNet"/>
        <s v="HW-add-add-a0.6-b0.6-g0.2"/>
        <s v="RandomForestRegressor"/>
        <s v="HW-mul-add-a0.2-b0.8-g0.2"/>
        <s v="ARIMA(p0-d0-q1)"/>
        <s v="HW-add-add-a0.4-b0.8-g0.4"/>
      </sharedItems>
    </cacheField>
    <cacheField name="[Measures].[Suma de Forecast]" caption="Suma de Forecast" numFmtId="0" hierarchy="6" level="32767"/>
    <cacheField name="[Measures].[Suma de Pedidos]" caption="Suma de Pedidos" numFmtId="0" hierarchy="7" level="32767"/>
  </cacheFields>
  <cacheHierarchies count="14">
    <cacheHierarchy uniqueName="[Tabla1].[Method]" caption="Method" attribute="1" defaultMemberUniqueName="[Tabla1].[Method].[All]" allUniqueName="[Tabla1].[Method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Modelo Ganador]" caption="Modelo Ganador" attribute="1" defaultMemberUniqueName="[Tabla1].[Modelo Ganador].[All]" allUniqueName="[Tabla1].[Modelo Ganador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]" caption="Suma de Pedidos" measure="1" displayFolder="" measureGroup="Tabla1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 oneField="1">
      <fieldsUsage count="1">
        <fieldUsage x="1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3.870797569441" createdVersion="3" refreshedVersion="8" minRefreshableVersion="3" recordCount="0" supportSubquery="1" supportAdvancedDrill="1" xr:uid="{9BC586CD-2873-4831-940D-942BE3436CD3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Tabla1].[Method]" caption="Method" attribute="1" defaultMemberUniqueName="[Tabla1].[Method].[All]" allUniqueName="[Tabla1].[Method].[All]" dimensionUniqueName="[Tabla1]" displayFolder="" count="0" memberValueDatatype="130" unbalanced="0"/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Modelo Ganador]" caption="Modelo Ganador" attribute="1" defaultMemberUniqueName="[Tabla1].[Modelo Ganador].[All]" allUniqueName="[Tabla1].[Modelo Ganador].[All]" dimensionUniqueName="[Tabla1]" displayFolder="" count="0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92384190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3.870802777776" createdVersion="3" refreshedVersion="8" minRefreshableVersion="3" recordCount="0" supportSubquery="1" supportAdvancedDrill="1" xr:uid="{622B934A-FE8F-421C-820A-F5B9377F50A0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Tabla1].[Method]" caption="Method" attribute="1" defaultMemberUniqueName="[Tabla1].[Method].[All]" allUniqueName="[Tabla1].[Method].[All]" dimensionUniqueName="[Tabla1]" displayFolder="" count="0" memberValueDatatype="130" unbalanced="0"/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Modelo Ganador]" caption="Modelo Ganador" attribute="1" defaultMemberUniqueName="[Tabla1].[Modelo Ganador].[All]" allUniqueName="[Tabla1].[Modelo Ganador].[All]" dimensionUniqueName="[Tabla1]" displayFolder="" count="0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86390806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3.870806828701" createdVersion="3" refreshedVersion="8" minRefreshableVersion="3" recordCount="0" supportSubquery="1" supportAdvancedDrill="1" xr:uid="{F3369692-71AD-44AF-B41F-4D63F51EA40B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">
    <cacheHierarchy uniqueName="[Tabla1].[Method]" caption="Method" attribute="1" defaultMemberUniqueName="[Tabla1].[Method].[All]" allUniqueName="[Tabla1].[Method].[All]" dimensionUniqueName="[Tabla1]" displayFolder="" count="0" memberValueDatatype="130" unbalanced="0"/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Modelo Ganador]" caption="Modelo Ganador" attribute="1" defaultMemberUniqueName="[Tabla1].[Modelo Ganador].[All]" allUniqueName="[Tabla1].[Modelo Ganador].[All]" dimensionUniqueName="[Tabla1]" displayFolder="" count="0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58849007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7CCDB-F315-4CA8-B4A3-382A6EFEBA97}" name="TablaDinámica1" cacheId="43" applyNumberFormats="0" applyBorderFormats="0" applyFontFormats="0" applyPatternFormats="0" applyAlignmentFormats="0" applyWidthHeightFormats="1" dataCaption="Valores" tag="06b31c9a-f5b4-42d2-8113-81d4c4a2c663" updatedVersion="8" minRefreshableVersion="3" useAutoFormatting="1" subtotalHiddenItems="1" rowGrandTotals="0" colGrandTotals="0" itemPrintTitles="1" createdVersion="5" indent="0" compact="0" compactData="0" multipleFieldFilters="0" chartFormat="5" rowHeaderCaption="Producto" colHeaderCaption="">
  <location ref="B3:G29" firstHeaderRow="0" firstDataRow="1" firstDataCol="3"/>
  <pivotFields count="6">
    <pivotField axis="axisRow" compact="0" allDrilled="1" outline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compact="0" outline="0" subtotalTop="0" showAll="0" defaultSubtotal="0"/>
    <pivotField axis="axisRow" compact="0" allDrilled="1" outline="0" showAll="0" dataSourceSort="1" defaultSubtotal="0" defaultAttributeDrillState="1">
      <items count="3">
        <item n="MAPE ST Ventana Fija" x="0"/>
        <item n="MAPE Regresores" x="1"/>
        <item n="MAPE ST Ventana Recursiva" x="2"/>
      </items>
    </pivotField>
    <pivotField axis="axisRow" compact="0" allDrilled="1" outline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compact="0" outline="0" showAll="0"/>
    <pivotField dataField="1" compact="0" outline="0" showAll="0"/>
  </pivotFields>
  <rowFields count="3">
    <field x="0"/>
    <field x="3"/>
    <field x="2"/>
  </rowFields>
  <rowItems count="26">
    <i>
      <x/>
      <x/>
      <x/>
    </i>
    <i>
      <x v="1"/>
      <x/>
      <x/>
    </i>
    <i>
      <x v="2"/>
      <x v="1"/>
      <x/>
    </i>
    <i>
      <x v="3"/>
      <x v="2"/>
      <x/>
    </i>
    <i>
      <x v="4"/>
      <x v="3"/>
      <x/>
    </i>
    <i>
      <x v="5"/>
      <x v="4"/>
      <x/>
    </i>
    <i>
      <x v="6"/>
      <x v="5"/>
      <x v="1"/>
    </i>
    <i>
      <x v="7"/>
      <x v="6"/>
      <x/>
    </i>
    <i>
      <x v="8"/>
      <x v="4"/>
      <x/>
    </i>
    <i>
      <x v="9"/>
      <x v="7"/>
      <x/>
    </i>
    <i>
      <x v="10"/>
      <x v="8"/>
      <x v="1"/>
    </i>
    <i>
      <x v="11"/>
      <x v="9"/>
      <x/>
    </i>
    <i>
      <x v="12"/>
      <x v="4"/>
      <x v="1"/>
    </i>
    <i>
      <x v="13"/>
      <x v="10"/>
      <x v="2"/>
    </i>
    <i>
      <x v="14"/>
      <x v="10"/>
      <x v="1"/>
    </i>
    <i>
      <x v="15"/>
      <x v="11"/>
      <x/>
    </i>
    <i>
      <x v="16"/>
      <x v="12"/>
      <x v="1"/>
    </i>
    <i>
      <x v="17"/>
      <x v="13"/>
      <x v="1"/>
    </i>
    <i>
      <x v="18"/>
      <x v="11"/>
      <x v="1"/>
    </i>
    <i>
      <x v="19"/>
      <x v="11"/>
      <x v="1"/>
    </i>
    <i>
      <x v="20"/>
      <x v="11"/>
      <x v="1"/>
    </i>
    <i>
      <x v="21"/>
      <x v="11"/>
      <x/>
    </i>
    <i>
      <x v="22"/>
      <x v="7"/>
      <x v="1"/>
    </i>
    <i>
      <x v="23"/>
      <x v="14"/>
      <x v="2"/>
    </i>
    <i>
      <x v="24"/>
      <x v="15"/>
      <x/>
    </i>
    <i>
      <x v="25"/>
      <x v="16"/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Forecast" fld="4" baseField="3" baseItem="0" numFmtId="3"/>
    <dataField name=" Pedidos" fld="5" baseField="3" baseItem="0" numFmtId="3"/>
    <dataField name="MAPE  %" fld="1" subtotal="count" baseField="0" baseItem="0" numFmtId="10"/>
  </dataFields>
  <formats count="80">
    <format dxfId="577">
      <pivotArea field="0" type="button" dataOnly="0" labelOnly="1" outline="0" axis="axisRow" fieldPosition="0"/>
    </format>
    <format dxfId="576">
      <pivotArea field="0" type="button" dataOnly="0" labelOnly="1" outline="0" axis="axisRow" fieldPosition="0"/>
    </format>
    <format dxfId="575">
      <pivotArea outline="0" collapsedLevelsAreSubtotals="1" fieldPosition="0"/>
    </format>
    <format dxfId="574">
      <pivotArea field="0" type="button" dataOnly="0" labelOnly="1" outline="0" axis="axisRow" fieldPosition="0"/>
    </format>
    <format dxfId="573">
      <pivotArea dataOnly="0" labelOnly="1" fieldPosition="0">
        <references count="1">
          <reference field="0" count="0"/>
        </references>
      </pivotArea>
    </format>
    <format dxfId="572">
      <pivotArea outline="0" collapsedLevelsAreSubtotals="1" fieldPosition="0"/>
    </format>
    <format dxfId="571">
      <pivotArea outline="0" fieldPosition="0">
        <references count="1">
          <reference field="4294967294" count="1">
            <x v="0"/>
          </reference>
        </references>
      </pivotArea>
    </format>
    <format dxfId="570">
      <pivotArea outline="0" fieldPosition="0">
        <references count="1">
          <reference field="4294967294" count="1">
            <x v="1"/>
          </reference>
        </references>
      </pivotArea>
    </format>
    <format dxfId="474">
      <pivotArea dataOnly="0" labelOnly="1" outline="0" fieldPosition="0">
        <references count="1">
          <reference field="0" count="0"/>
        </references>
      </pivotArea>
    </format>
    <format dxfId="473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2"/>
          </reference>
          <reference field="3" count="1">
            <x v="1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3"/>
          </reference>
          <reference field="3" count="1">
            <x v="2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4"/>
          </reference>
          <reference field="3" count="1">
            <x v="3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5"/>
          </reference>
          <reference field="3" count="1">
            <x v="4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6"/>
          </reference>
          <reference field="3" count="1">
            <x v="5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7"/>
          </reference>
          <reference field="3" count="1">
            <x v="6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8"/>
          </reference>
          <reference field="3" count="1">
            <x v="4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9"/>
          </reference>
          <reference field="3" count="1">
            <x v="7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10"/>
          </reference>
          <reference field="3" count="1">
            <x v="8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11"/>
          </reference>
          <reference field="3" count="1">
            <x v="9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12"/>
          </reference>
          <reference field="3" count="1">
            <x v="4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13"/>
          </reference>
          <reference field="3" count="1">
            <x v="10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15"/>
          </reference>
          <reference field="3" count="1">
            <x v="11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16"/>
          </reference>
          <reference field="3" count="1">
            <x v="12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17"/>
          </reference>
          <reference field="3" count="1">
            <x v="13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18"/>
          </reference>
          <reference field="3" count="1">
            <x v="11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22"/>
          </reference>
          <reference field="3" count="1">
            <x v="7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23"/>
          </reference>
          <reference field="3" count="1">
            <x v="14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24"/>
          </reference>
          <reference field="3" count="1">
            <x v="15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25"/>
          </reference>
          <reference field="3" count="1">
            <x v="16"/>
          </reference>
        </references>
      </pivotArea>
    </format>
    <format dxfId="452">
      <pivotArea dataOnly="0" labelOnly="1" outline="0" fieldPosition="0">
        <references count="1">
          <reference field="0" count="0"/>
        </references>
      </pivotArea>
    </format>
    <format dxfId="451">
      <pivotArea dataOnly="0" labelOnly="1" outline="0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2"/>
          </reference>
          <reference field="3" count="1">
            <x v="1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3"/>
          </reference>
          <reference field="3" count="1">
            <x v="2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4"/>
          </reference>
          <reference field="3" count="1">
            <x v="3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5"/>
          </reference>
          <reference field="3" count="1">
            <x v="4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6"/>
          </reference>
          <reference field="3" count="1">
            <x v="5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7"/>
          </reference>
          <reference field="3" count="1">
            <x v="6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8"/>
          </reference>
          <reference field="3" count="1">
            <x v="4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9"/>
          </reference>
          <reference field="3" count="1">
            <x v="7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10"/>
          </reference>
          <reference field="3" count="1">
            <x v="8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11"/>
          </reference>
          <reference field="3" count="1">
            <x v="9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12"/>
          </reference>
          <reference field="3" count="1">
            <x v="4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13"/>
          </reference>
          <reference field="3" count="1">
            <x v="10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15"/>
          </reference>
          <reference field="3" count="1">
            <x v="11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16"/>
          </reference>
          <reference field="3" count="1">
            <x v="12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17"/>
          </reference>
          <reference field="3" count="1">
            <x v="13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18"/>
          </reference>
          <reference field="3" count="1">
            <x v="11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22"/>
          </reference>
          <reference field="3" count="1">
            <x v="7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23"/>
          </reference>
          <reference field="3" count="1">
            <x v="14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24"/>
          </reference>
          <reference field="3" count="1">
            <x v="15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25"/>
          </reference>
          <reference field="3" count="1">
            <x v="16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0"/>
          </reference>
          <reference field="2" count="1">
            <x v="0"/>
          </reference>
          <reference field="3" count="1" selected="0">
            <x v="0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1"/>
          </reference>
          <reference field="2" count="1">
            <x v="0"/>
          </reference>
          <reference field="3" count="1" selected="0">
            <x v="0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2"/>
          </reference>
          <reference field="2" count="1">
            <x v="0"/>
          </reference>
          <reference field="3" count="1" selected="0">
            <x v="1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3"/>
          </reference>
          <reference field="2" count="1">
            <x v="0"/>
          </reference>
          <reference field="3" count="1" selected="0">
            <x v="2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4"/>
          </reference>
          <reference field="2" count="1">
            <x v="0"/>
          </reference>
          <reference field="3" count="1" selected="0">
            <x v="3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5"/>
          </reference>
          <reference field="2" count="1">
            <x v="0"/>
          </reference>
          <reference field="3" count="1" selected="0">
            <x v="4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6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7"/>
          </reference>
          <reference field="2" count="1">
            <x v="0"/>
          </reference>
          <reference field="3" count="1" selected="0">
            <x v="6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8"/>
          </reference>
          <reference field="2" count="1">
            <x v="0"/>
          </reference>
          <reference field="3" count="1" selected="0">
            <x v="4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9"/>
          </reference>
          <reference field="2" count="1">
            <x v="0"/>
          </reference>
          <reference field="3" count="1" selected="0">
            <x v="7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10"/>
          </reference>
          <reference field="2" count="1">
            <x v="1"/>
          </reference>
          <reference field="3" count="1" selected="0">
            <x v="8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11"/>
          </reference>
          <reference field="2" count="1">
            <x v="0"/>
          </reference>
          <reference field="3" count="1" selected="0">
            <x v="9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12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13"/>
          </reference>
          <reference field="2" count="1">
            <x v="2"/>
          </reference>
          <reference field="3" count="1" selected="0">
            <x v="10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14"/>
          </reference>
          <reference field="2" count="1">
            <x v="1"/>
          </reference>
          <reference field="3" count="1" selected="0">
            <x v="10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15"/>
          </reference>
          <reference field="2" count="1">
            <x v="0"/>
          </reference>
          <reference field="3" count="1" selected="0">
            <x v="11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3" count="1" selected="0">
            <x v="12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17"/>
          </reference>
          <reference field="2" count="1">
            <x v="1"/>
          </reference>
          <reference field="3" count="1" selected="0">
            <x v="13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18"/>
          </reference>
          <reference field="2" count="1">
            <x v="1"/>
          </reference>
          <reference field="3" count="1" selected="0">
            <x v="11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19"/>
          </reference>
          <reference field="2" count="1">
            <x v="1"/>
          </reference>
          <reference field="3" count="1" selected="0">
            <x v="11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20"/>
          </reference>
          <reference field="2" count="1">
            <x v="1"/>
          </reference>
          <reference field="3" count="1" selected="0">
            <x v="11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21"/>
          </reference>
          <reference field="2" count="1">
            <x v="0"/>
          </reference>
          <reference field="3" count="1" selected="0">
            <x v="11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22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23"/>
          </reference>
          <reference field="2" count="1">
            <x v="2"/>
          </reference>
          <reference field="3" count="1" selected="0">
            <x v="14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24"/>
          </reference>
          <reference field="2" count="1">
            <x v="0"/>
          </reference>
          <reference field="3" count="1" selected="0">
            <x v="15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25"/>
          </reference>
          <reference field="2" count="1">
            <x v="0"/>
          </reference>
          <reference field="3" count="1" selected="0">
            <x v="16"/>
          </reference>
        </references>
      </pivotArea>
    </format>
    <format dxfId="243">
      <pivotArea outline="0" collapsedLevelsAreSubtotals="1" fieldPosition="0"/>
    </format>
    <format dxfId="2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3">
    <rowHierarchyUsage hierarchyUsage="1"/>
    <rowHierarchyUsage hierarchyUsage="2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64E18-116D-4D30-815D-0CBC81839666}" name="TablaDinámica1" cacheId="24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7" firstHeaderRow="0" firstDataRow="1" firstDataCol="1"/>
  <pivotFields count="8">
    <pivotField axis="axisRow" allDrilled="1" subtotalTop="0" showAll="0" dataSourceSort="1">
      <items count="2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t="default"/>
      </items>
    </pivotField>
    <pivotField axis="axisRow" allDrilled="1" subtotalTop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>
      <items count="4">
        <item x="0" e="0"/>
        <item n="Ventana Fija ST" x="1" e="0"/>
        <item n="Ventana Recursiva ST" x="2" e="0"/>
        <item t="default"/>
      </items>
    </pivotField>
  </pivotFields>
  <rowFields count="3">
    <field x="7"/>
    <field x="0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569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3">
    <rowHierarchyUsage hierarchyUsage="0"/>
    <rowHierarchyUsage hierarchyUsage="1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28" applyNumberFormats="0" applyBorderFormats="0" applyFontFormats="0" applyPatternFormats="0" applyAlignmentFormats="0" applyWidthHeightFormats="1" dataCaption="Valores" tag="06b31c9a-f5b4-42d2-8113-81d4c4a2c663" updatedVersion="8" minRefreshableVersion="3" useAutoFormatting="1" rowGrandTotals="0" colGrandTotals="0" itemPrintTitles="1" createdVersion="5" indent="0" outline="1" outlineData="1" multipleFieldFilters="0" rowHeaderCaption="Producto" colHeaderCaption="">
  <location ref="B3:Q31" firstHeaderRow="1" firstDataRow="3" firstDataCol="1"/>
  <pivotFields count="8">
    <pivotField axis="axisRow" allDrilled="1" showAll="0" dataSourceSort="1">
      <items count="2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2">
    <field x="0"/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2">
    <field x="7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27">
    <format dxfId="56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4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7" count="1" selected="0">
            <x v="1"/>
          </reference>
        </references>
      </pivotArea>
    </format>
    <format dxfId="563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7" count="1" selected="0">
            <x v="1"/>
          </reference>
        </references>
      </pivotArea>
    </format>
    <format dxfId="562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7" count="1" selected="0">
            <x v="1"/>
          </reference>
        </references>
      </pivotArea>
    </format>
    <format dxfId="561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7" count="1" selected="0">
            <x v="1"/>
          </reference>
        </references>
      </pivotArea>
    </format>
    <format dxfId="560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7" count="1" selected="0">
            <x v="1"/>
          </reference>
        </references>
      </pivotArea>
    </format>
    <format dxfId="559">
      <pivotArea collapsedLevelsAreSubtotals="1" fieldPosition="0">
        <references count="3">
          <reference field="4294967294" count="1" selected="0">
            <x v="3"/>
          </reference>
          <reference field="0" count="1">
            <x v="5"/>
          </reference>
          <reference field="7" count="1" selected="0">
            <x v="1"/>
          </reference>
        </references>
      </pivotArea>
    </format>
    <format dxfId="558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7" count="1" selected="0">
            <x v="0"/>
          </reference>
        </references>
      </pivotArea>
    </format>
    <format dxfId="557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7" count="1" selected="0">
            <x v="1"/>
          </reference>
        </references>
      </pivotArea>
    </format>
    <format dxfId="556">
      <pivotArea collapsedLevelsAreSubtotals="1" fieldPosition="0">
        <references count="3">
          <reference field="4294967294" count="1" selected="0">
            <x v="3"/>
          </reference>
          <reference field="0" count="1">
            <x v="8"/>
          </reference>
          <reference field="7" count="1" selected="0">
            <x v="1"/>
          </reference>
        </references>
      </pivotArea>
    </format>
    <format dxfId="555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7" count="1" selected="0">
            <x v="1"/>
          </reference>
        </references>
      </pivotArea>
    </format>
    <format dxfId="554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7" count="1" selected="0">
            <x v="0"/>
          </reference>
        </references>
      </pivotArea>
    </format>
    <format dxfId="553">
      <pivotArea collapsedLevelsAreSubtotals="1" fieldPosition="0">
        <references count="3">
          <reference field="4294967294" count="1" selected="0">
            <x v="3"/>
          </reference>
          <reference field="0" count="1">
            <x v="11"/>
          </reference>
          <reference field="7" count="1" selected="0">
            <x v="1"/>
          </reference>
        </references>
      </pivotArea>
    </format>
    <format dxfId="552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7" count="1" selected="0">
            <x v="0"/>
          </reference>
        </references>
      </pivotArea>
    </format>
    <format dxfId="551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7" count="1" selected="0">
            <x v="2"/>
          </reference>
        </references>
      </pivotArea>
    </format>
    <format dxfId="550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7" count="1" selected="0">
            <x v="0"/>
          </reference>
        </references>
      </pivotArea>
    </format>
    <format dxfId="549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7" count="1" selected="0">
            <x v="1"/>
          </reference>
        </references>
      </pivotArea>
    </format>
    <format dxfId="548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7" count="1" selected="0">
            <x v="0"/>
          </reference>
        </references>
      </pivotArea>
    </format>
    <format dxfId="547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7" count="1" selected="0">
            <x v="0"/>
          </reference>
        </references>
      </pivotArea>
    </format>
    <format dxfId="546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7" count="1" selected="0">
            <x v="0"/>
          </reference>
        </references>
      </pivotArea>
    </format>
    <format dxfId="545">
      <pivotArea collapsedLevelsAreSubtotals="1" fieldPosition="0">
        <references count="3">
          <reference field="4294967294" count="1" selected="0">
            <x v="3"/>
          </reference>
          <reference field="0" count="1">
            <x v="19"/>
          </reference>
          <reference field="7" count="1" selected="0">
            <x v="0"/>
          </reference>
        </references>
      </pivotArea>
    </format>
    <format dxfId="544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7" count="1" selected="0">
            <x v="0"/>
          </reference>
        </references>
      </pivotArea>
    </format>
    <format dxfId="543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7" count="1" selected="0">
            <x v="1"/>
          </reference>
        </references>
      </pivotArea>
    </format>
    <format dxfId="542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7" count="1" selected="0">
            <x v="0"/>
          </reference>
        </references>
      </pivotArea>
    </format>
    <format dxfId="541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7" count="1" selected="0">
            <x v="2"/>
          </reference>
        </references>
      </pivotArea>
    </format>
    <format dxfId="540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7" count="1" selected="0">
            <x v="1"/>
          </reference>
        </references>
      </pivotArea>
    </format>
    <format dxfId="539">
      <pivotArea collapsedLevelsAreSubtotals="1" fieldPosition="0">
        <references count="3">
          <reference field="4294967294" count="1" selected="0">
            <x v="3"/>
          </reference>
          <reference field="0" count="1">
            <x v="25"/>
          </reference>
          <reference field="7" count="1" selected="0">
            <x v="1"/>
          </reference>
        </references>
      </pivotArea>
    </format>
  </formats>
  <pivotHierarchies count="1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2">
    <rowHierarchyUsage hierarchyUsage="1"/>
    <rowHierarchyUsage hierarchyUsage="3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1588490071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1" xr10:uid="{664ACA9F-0BD2-4E19-B84C-24AD54DE85E7}" sourceName="[Tabla1].[SKU]">
  <pivotTables>
    <pivotTable tabId="6" name="TablaDinámica1"/>
  </pivotTables>
  <data>
    <olap pivotCacheId="1586390806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2" xr10:uid="{31391448-1A9D-4556-B5FF-B30A1BA40F65}" sourceName="[Tabla1].[SKU]">
  <pivotTables>
    <pivotTable tabId="7" name="TablaDinámica1"/>
  </pivotTables>
  <data>
    <olap pivotCacheId="1492384190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 2" xr10:uid="{0B7AC9AC-0C9E-493C-BB44-0472F0BB96F0}" cache="SegmentaciónDeDatos_SKU2" caption="SKU" level="1" style="SlicerStyleOther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 1" xr10:uid="{21450B48-AB6C-41D0-9ED1-B20705C235D2}" cache="SegmentaciónDeDatos_SKU1" caption="SKU" startItem="6" level="1" style="SlicerStyleOther1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level="1" style="SlicerStyleOther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P54" totalsRowShown="0" headerRowDxfId="568">
  <autoFilter ref="A2:P54" xr:uid="{AC5160AC-1829-43F3-A27C-CA2B27D5BDDF}"/>
  <tableColumns count="16">
    <tableColumn id="1" xr3:uid="{C3CE245C-8581-4724-B40B-3A95F6007B37}" name="Method" dataDxfId="567"/>
    <tableColumn id="2" xr3:uid="{7DD193C4-0C66-409B-B1FE-EC0B16866203}" name="SKU"/>
    <tableColumn id="16" xr3:uid="{844FE00E-6218-414E-8054-802902C9E1AA}" name="Modelo Ganador" dataDxfId="566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SUM(I3:O3)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7C8-A602-4CD6-9F49-24E7BED16BE3}">
  <dimension ref="B3:H30"/>
  <sheetViews>
    <sheetView tabSelected="1" zoomScale="115" zoomScaleNormal="115" workbookViewId="0">
      <selection activeCell="K7" sqref="K7"/>
    </sheetView>
  </sheetViews>
  <sheetFormatPr baseColWidth="10" defaultRowHeight="15" x14ac:dyDescent="0.25"/>
  <cols>
    <col min="2" max="2" width="13.7109375" bestFit="1" customWidth="1"/>
    <col min="3" max="3" width="20" customWidth="1"/>
    <col min="4" max="4" width="12" bestFit="1" customWidth="1"/>
    <col min="5" max="5" width="9.140625" style="2" bestFit="1" customWidth="1"/>
    <col min="6" max="6" width="8.7109375" style="2" bestFit="1" customWidth="1"/>
    <col min="7" max="7" width="8.42578125" style="2" bestFit="1" customWidth="1"/>
    <col min="8" max="8" width="7.85546875" style="2" bestFit="1" customWidth="1"/>
    <col min="9" max="9" width="8.42578125" bestFit="1" customWidth="1"/>
    <col min="10" max="10" width="6.7109375" bestFit="1" customWidth="1"/>
    <col min="11" max="11" width="7.85546875" bestFit="1" customWidth="1"/>
    <col min="12" max="12" width="8.42578125" bestFit="1" customWidth="1"/>
    <col min="13" max="13" width="6.7109375" bestFit="1" customWidth="1"/>
    <col min="14" max="14" width="7.85546875" bestFit="1" customWidth="1"/>
    <col min="15" max="15" width="8.42578125" bestFit="1" customWidth="1"/>
    <col min="16" max="16" width="6.7109375" bestFit="1" customWidth="1"/>
    <col min="17" max="17" width="19.140625" bestFit="1" customWidth="1"/>
    <col min="18" max="18" width="18.7109375" bestFit="1" customWidth="1"/>
    <col min="19" max="19" width="12.7109375" bestFit="1" customWidth="1"/>
    <col min="20" max="20" width="13.28515625" bestFit="1" customWidth="1"/>
    <col min="21" max="21" width="11.5703125" bestFit="1" customWidth="1"/>
    <col min="22" max="25" width="12" bestFit="1" customWidth="1"/>
    <col min="26" max="26" width="11" bestFit="1" customWidth="1"/>
    <col min="27" max="36" width="12" bestFit="1" customWidth="1"/>
    <col min="37" max="37" width="11" bestFit="1" customWidth="1"/>
    <col min="38" max="38" width="12" bestFit="1" customWidth="1"/>
    <col min="39" max="39" width="11" bestFit="1" customWidth="1"/>
    <col min="40" max="49" width="12" bestFit="1" customWidth="1"/>
    <col min="50" max="50" width="11" bestFit="1" customWidth="1"/>
    <col min="51" max="57" width="12" bestFit="1" customWidth="1"/>
    <col min="58" max="59" width="11" bestFit="1" customWidth="1"/>
    <col min="60" max="62" width="12" bestFit="1" customWidth="1"/>
    <col min="63" max="63" width="11" bestFit="1" customWidth="1"/>
    <col min="64" max="74" width="12" bestFit="1" customWidth="1"/>
    <col min="75" max="75" width="11" bestFit="1" customWidth="1"/>
    <col min="76" max="81" width="12" bestFit="1" customWidth="1"/>
    <col min="82" max="82" width="10" bestFit="1" customWidth="1"/>
    <col min="83" max="99" width="12" bestFit="1" customWidth="1"/>
    <col min="100" max="100" width="11" bestFit="1" customWidth="1"/>
    <col min="101" max="103" width="12" bestFit="1" customWidth="1"/>
    <col min="104" max="104" width="11" bestFit="1" customWidth="1"/>
    <col min="105" max="123" width="12" bestFit="1" customWidth="1"/>
    <col min="124" max="125" width="11" bestFit="1" customWidth="1"/>
    <col min="126" max="132" width="12" bestFit="1" customWidth="1"/>
    <col min="133" max="133" width="11" bestFit="1" customWidth="1"/>
    <col min="134" max="136" width="12" bestFit="1" customWidth="1"/>
    <col min="137" max="138" width="11" bestFit="1" customWidth="1"/>
    <col min="139" max="153" width="12" bestFit="1" customWidth="1"/>
    <col min="154" max="154" width="11" bestFit="1" customWidth="1"/>
    <col min="155" max="155" width="12.5703125" bestFit="1" customWidth="1"/>
  </cols>
  <sheetData>
    <row r="3" spans="2:8" x14ac:dyDescent="0.25">
      <c r="B3" s="12" t="s">
        <v>0</v>
      </c>
      <c r="C3" s="4" t="s">
        <v>100</v>
      </c>
      <c r="D3" s="4" t="s">
        <v>93</v>
      </c>
      <c r="E3" s="2" t="s">
        <v>125</v>
      </c>
      <c r="F3" s="2" t="s">
        <v>126</v>
      </c>
      <c r="G3" s="2" t="s">
        <v>66</v>
      </c>
      <c r="H3"/>
    </row>
    <row r="4" spans="2:8" ht="30" x14ac:dyDescent="0.25">
      <c r="B4" s="18" t="s">
        <v>6</v>
      </c>
      <c r="C4" s="19" t="s">
        <v>31</v>
      </c>
      <c r="D4" s="20" t="s">
        <v>122</v>
      </c>
      <c r="E4" s="17">
        <v>150487.9556176553</v>
      </c>
      <c r="F4" s="17">
        <v>140520</v>
      </c>
      <c r="G4" s="16">
        <v>7.0936205647988193E-2</v>
      </c>
      <c r="H4"/>
    </row>
    <row r="5" spans="2:8" ht="30" x14ac:dyDescent="0.25">
      <c r="B5" s="18" t="s">
        <v>8</v>
      </c>
      <c r="C5" t="s">
        <v>31</v>
      </c>
      <c r="D5" s="20" t="s">
        <v>122</v>
      </c>
      <c r="E5" s="17">
        <v>8243.8278700254559</v>
      </c>
      <c r="F5" s="17">
        <v>9180</v>
      </c>
      <c r="G5" s="16">
        <v>0.10197953485561483</v>
      </c>
      <c r="H5"/>
    </row>
    <row r="6" spans="2:8" ht="30" x14ac:dyDescent="0.25">
      <c r="B6" s="18" t="s">
        <v>10</v>
      </c>
      <c r="C6" s="19" t="s">
        <v>11</v>
      </c>
      <c r="D6" s="20" t="s">
        <v>122</v>
      </c>
      <c r="E6" s="17">
        <v>7456.7076411238677</v>
      </c>
      <c r="F6" s="17">
        <v>7200</v>
      </c>
      <c r="G6" s="16">
        <v>3.5653839044981622E-2</v>
      </c>
      <c r="H6"/>
    </row>
    <row r="7" spans="2:8" ht="30" x14ac:dyDescent="0.25">
      <c r="B7" s="18" t="s">
        <v>12</v>
      </c>
      <c r="C7" s="19" t="s">
        <v>101</v>
      </c>
      <c r="D7" s="20" t="s">
        <v>122</v>
      </c>
      <c r="E7" s="17">
        <v>3699.2956957424981</v>
      </c>
      <c r="F7" s="17">
        <v>3900</v>
      </c>
      <c r="G7" s="16">
        <v>5.1462642117308187E-2</v>
      </c>
      <c r="H7"/>
    </row>
    <row r="8" spans="2:8" ht="30" x14ac:dyDescent="0.25">
      <c r="B8" s="18" t="s">
        <v>14</v>
      </c>
      <c r="C8" s="19" t="s">
        <v>102</v>
      </c>
      <c r="D8" s="20" t="s">
        <v>122</v>
      </c>
      <c r="E8" s="17">
        <v>3293.3698610603901</v>
      </c>
      <c r="F8" s="17">
        <v>3900</v>
      </c>
      <c r="G8" s="16">
        <v>0.15554618947169485</v>
      </c>
      <c r="H8"/>
    </row>
    <row r="9" spans="2:8" ht="30" x14ac:dyDescent="0.25">
      <c r="B9" s="18" t="s">
        <v>16</v>
      </c>
      <c r="C9" s="19" t="s">
        <v>15</v>
      </c>
      <c r="D9" s="20" t="s">
        <v>122</v>
      </c>
      <c r="E9" s="17">
        <v>15144.397458490543</v>
      </c>
      <c r="F9" s="17">
        <v>15840</v>
      </c>
      <c r="G9" s="16">
        <v>4.3914301862970788E-2</v>
      </c>
      <c r="H9"/>
    </row>
    <row r="10" spans="2:8" ht="30" x14ac:dyDescent="0.25">
      <c r="B10" s="18" t="s">
        <v>18</v>
      </c>
      <c r="C10" s="19" t="s">
        <v>103</v>
      </c>
      <c r="D10" s="20" t="s">
        <v>123</v>
      </c>
      <c r="E10" s="17">
        <v>6810.1748657226472</v>
      </c>
      <c r="F10" s="17">
        <v>6960</v>
      </c>
      <c r="G10" s="16">
        <v>2.1526599752493224E-2</v>
      </c>
      <c r="H10"/>
    </row>
    <row r="11" spans="2:8" ht="30" x14ac:dyDescent="0.25">
      <c r="B11" s="18" t="s">
        <v>20</v>
      </c>
      <c r="C11" s="19" t="s">
        <v>107</v>
      </c>
      <c r="D11" s="20" t="s">
        <v>122</v>
      </c>
      <c r="E11" s="17">
        <v>24147.47544026043</v>
      </c>
      <c r="F11" s="17">
        <v>24600</v>
      </c>
      <c r="G11" s="16">
        <v>1.8395307306486572E-2</v>
      </c>
      <c r="H11"/>
    </row>
    <row r="12" spans="2:8" ht="30" x14ac:dyDescent="0.25">
      <c r="B12" s="18" t="s">
        <v>21</v>
      </c>
      <c r="C12" s="19" t="s">
        <v>15</v>
      </c>
      <c r="D12" s="20" t="s">
        <v>122</v>
      </c>
      <c r="E12" s="17">
        <v>82472.640865842768</v>
      </c>
      <c r="F12" s="17">
        <v>82871</v>
      </c>
      <c r="G12" s="16">
        <v>4.8069787278690003E-3</v>
      </c>
      <c r="H12"/>
    </row>
    <row r="13" spans="2:8" ht="30" x14ac:dyDescent="0.25">
      <c r="B13" s="18" t="s">
        <v>23</v>
      </c>
      <c r="C13" s="19" t="s">
        <v>104</v>
      </c>
      <c r="D13" s="20" t="s">
        <v>122</v>
      </c>
      <c r="E13" s="17">
        <v>15586.466960540558</v>
      </c>
      <c r="F13" s="17">
        <v>15120</v>
      </c>
      <c r="G13" s="16">
        <v>3.0850989453740603E-2</v>
      </c>
      <c r="H13"/>
    </row>
    <row r="14" spans="2:8" ht="30" x14ac:dyDescent="0.25">
      <c r="B14" s="18" t="s">
        <v>25</v>
      </c>
      <c r="C14" s="19" t="s">
        <v>105</v>
      </c>
      <c r="D14" s="20" t="s">
        <v>123</v>
      </c>
      <c r="E14" s="17">
        <v>23955</v>
      </c>
      <c r="F14" s="17">
        <v>27720</v>
      </c>
      <c r="G14" s="16">
        <v>0.13582251082251082</v>
      </c>
      <c r="H14"/>
    </row>
    <row r="15" spans="2:8" ht="30" x14ac:dyDescent="0.25">
      <c r="B15" s="18" t="s">
        <v>27</v>
      </c>
      <c r="C15" s="19" t="s">
        <v>108</v>
      </c>
      <c r="D15" s="20" t="s">
        <v>122</v>
      </c>
      <c r="E15" s="17">
        <v>32269.107342975651</v>
      </c>
      <c r="F15" s="17">
        <v>33900</v>
      </c>
      <c r="G15" s="16">
        <v>4.8108927935821513E-2</v>
      </c>
      <c r="H15"/>
    </row>
    <row r="16" spans="2:8" ht="30" x14ac:dyDescent="0.25">
      <c r="B16" s="18" t="s">
        <v>28</v>
      </c>
      <c r="C16" s="19" t="s">
        <v>15</v>
      </c>
      <c r="D16" s="20" t="s">
        <v>123</v>
      </c>
      <c r="E16" s="17">
        <v>64601.066668526764</v>
      </c>
      <c r="F16" s="17">
        <v>60360</v>
      </c>
      <c r="G16" s="16">
        <v>7.0262867271815174E-2</v>
      </c>
      <c r="H16"/>
    </row>
    <row r="17" spans="2:8" ht="45" x14ac:dyDescent="0.25">
      <c r="B17" s="18" t="s">
        <v>29</v>
      </c>
      <c r="C17" s="19" t="s">
        <v>82</v>
      </c>
      <c r="D17" s="20" t="s">
        <v>124</v>
      </c>
      <c r="E17" s="17">
        <v>28900.162432287649</v>
      </c>
      <c r="F17" s="17">
        <v>30600</v>
      </c>
      <c r="G17" s="16">
        <v>5.5550247310861153E-2</v>
      </c>
      <c r="H17"/>
    </row>
    <row r="18" spans="2:8" ht="30" x14ac:dyDescent="0.25">
      <c r="B18" s="18" t="s">
        <v>30</v>
      </c>
      <c r="C18" t="s">
        <v>82</v>
      </c>
      <c r="D18" s="20" t="s">
        <v>123</v>
      </c>
      <c r="E18" s="17">
        <v>24229.776127345769</v>
      </c>
      <c r="F18" s="17">
        <v>25080</v>
      </c>
      <c r="G18" s="16">
        <v>3.3900473391317021E-2</v>
      </c>
      <c r="H18"/>
    </row>
    <row r="19" spans="2:8" ht="30" x14ac:dyDescent="0.25">
      <c r="B19" s="18" t="s">
        <v>32</v>
      </c>
      <c r="C19" s="19" t="s">
        <v>109</v>
      </c>
      <c r="D19" s="20" t="s">
        <v>122</v>
      </c>
      <c r="E19" s="17">
        <v>33808.032801183494</v>
      </c>
      <c r="F19" s="17">
        <v>33600</v>
      </c>
      <c r="G19" s="16">
        <v>6.1914524161754041E-3</v>
      </c>
      <c r="H19"/>
    </row>
    <row r="20" spans="2:8" ht="30" x14ac:dyDescent="0.25">
      <c r="B20" s="18" t="s">
        <v>33</v>
      </c>
      <c r="C20" s="19" t="s">
        <v>13</v>
      </c>
      <c r="D20" s="20" t="s">
        <v>123</v>
      </c>
      <c r="E20" s="17">
        <v>29432.423931623918</v>
      </c>
      <c r="F20" s="17">
        <v>28560</v>
      </c>
      <c r="G20" s="16">
        <v>3.05470564294089E-2</v>
      </c>
      <c r="H20"/>
    </row>
    <row r="21" spans="2:8" ht="30" x14ac:dyDescent="0.25">
      <c r="B21" s="18" t="s">
        <v>35</v>
      </c>
      <c r="C21" s="19" t="s">
        <v>110</v>
      </c>
      <c r="D21" s="20" t="s">
        <v>123</v>
      </c>
      <c r="E21" s="17">
        <v>14531.363155721549</v>
      </c>
      <c r="F21" s="17">
        <v>14280</v>
      </c>
      <c r="G21" s="16">
        <v>1.7602461885262502E-2</v>
      </c>
      <c r="H21"/>
    </row>
    <row r="22" spans="2:8" ht="30" x14ac:dyDescent="0.25">
      <c r="B22" s="18" t="s">
        <v>37</v>
      </c>
      <c r="C22" s="19" t="s">
        <v>109</v>
      </c>
      <c r="D22" s="20" t="s">
        <v>123</v>
      </c>
      <c r="E22" s="17">
        <v>14240.584600225311</v>
      </c>
      <c r="F22" s="17">
        <v>16080</v>
      </c>
      <c r="G22" s="16">
        <v>0.1143915049611125</v>
      </c>
      <c r="H22"/>
    </row>
    <row r="23" spans="2:8" ht="30" x14ac:dyDescent="0.25">
      <c r="B23" s="18" t="s">
        <v>38</v>
      </c>
      <c r="C23" t="s">
        <v>109</v>
      </c>
      <c r="D23" s="20" t="s">
        <v>123</v>
      </c>
      <c r="E23" s="17">
        <v>92054.890269520576</v>
      </c>
      <c r="F23" s="17">
        <v>90000</v>
      </c>
      <c r="G23" s="16">
        <v>2.2832114105784181E-2</v>
      </c>
      <c r="H23"/>
    </row>
    <row r="24" spans="2:8" ht="30" x14ac:dyDescent="0.25">
      <c r="B24" s="18" t="s">
        <v>40</v>
      </c>
      <c r="C24" t="s">
        <v>109</v>
      </c>
      <c r="D24" s="20" t="s">
        <v>123</v>
      </c>
      <c r="E24" s="17">
        <v>32699.097971436979</v>
      </c>
      <c r="F24" s="17">
        <v>30600</v>
      </c>
      <c r="G24" s="16">
        <v>6.8597972922777084E-2</v>
      </c>
      <c r="H24"/>
    </row>
    <row r="25" spans="2:8" ht="30" x14ac:dyDescent="0.25">
      <c r="B25" s="18" t="s">
        <v>41</v>
      </c>
      <c r="C25" t="s">
        <v>109</v>
      </c>
      <c r="D25" s="20" t="s">
        <v>122</v>
      </c>
      <c r="E25" s="17">
        <v>102332.40051479753</v>
      </c>
      <c r="F25" s="17">
        <v>101400</v>
      </c>
      <c r="G25" s="16">
        <v>9.1952713490880255E-3</v>
      </c>
      <c r="H25"/>
    </row>
    <row r="26" spans="2:8" ht="30" x14ac:dyDescent="0.25">
      <c r="B26" s="18" t="s">
        <v>43</v>
      </c>
      <c r="C26" s="19" t="s">
        <v>104</v>
      </c>
      <c r="D26" s="20" t="s">
        <v>123</v>
      </c>
      <c r="E26" s="17">
        <v>20922.03054300752</v>
      </c>
      <c r="F26" s="17">
        <v>20850</v>
      </c>
      <c r="G26" s="16">
        <v>3.4547023025189669E-3</v>
      </c>
      <c r="H26"/>
    </row>
    <row r="27" spans="2:8" ht="45" x14ac:dyDescent="0.25">
      <c r="B27" s="18" t="s">
        <v>45</v>
      </c>
      <c r="C27" s="19" t="s">
        <v>121</v>
      </c>
      <c r="D27" s="20" t="s">
        <v>124</v>
      </c>
      <c r="E27" s="17">
        <v>69332.629724448096</v>
      </c>
      <c r="F27" s="17">
        <v>70200</v>
      </c>
      <c r="G27" s="16">
        <v>1.2355701930938809E-2</v>
      </c>
      <c r="H27"/>
    </row>
    <row r="28" spans="2:8" ht="30" x14ac:dyDescent="0.25">
      <c r="B28" s="18" t="s">
        <v>47</v>
      </c>
      <c r="C28" s="19" t="s">
        <v>90</v>
      </c>
      <c r="D28" s="20" t="s">
        <v>122</v>
      </c>
      <c r="E28" s="17">
        <v>8585.8988542080369</v>
      </c>
      <c r="F28" s="17">
        <v>14760</v>
      </c>
      <c r="G28" s="16">
        <v>0.41829953562276173</v>
      </c>
      <c r="H28"/>
    </row>
    <row r="29" spans="2:8" ht="30" x14ac:dyDescent="0.25">
      <c r="B29" s="18" t="s">
        <v>49</v>
      </c>
      <c r="C29" s="19" t="s">
        <v>106</v>
      </c>
      <c r="D29" s="20" t="s">
        <v>122</v>
      </c>
      <c r="E29" s="17">
        <v>5970.1806203764727</v>
      </c>
      <c r="F29" s="17">
        <v>7380</v>
      </c>
      <c r="G29" s="16">
        <v>0.19103243626335059</v>
      </c>
      <c r="H29"/>
    </row>
    <row r="30" spans="2:8" x14ac:dyDescent="0.25">
      <c r="B30" s="22" t="s">
        <v>127</v>
      </c>
      <c r="C30" s="22"/>
      <c r="D30" s="22"/>
      <c r="E30" s="22"/>
      <c r="F30" s="22"/>
      <c r="G30" s="21">
        <f>AVERAGE(G4:G29)</f>
        <v>6.8200685583178919E-2</v>
      </c>
      <c r="H30"/>
    </row>
  </sheetData>
  <mergeCells count="1">
    <mergeCell ref="B30:F30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B919-FFA1-4A70-8425-4379F4A32470}">
  <dimension ref="B3:M22"/>
  <sheetViews>
    <sheetView topLeftCell="A2" zoomScale="115" zoomScaleNormal="115" workbookViewId="0">
      <selection activeCell="B27" sqref="B27"/>
    </sheetView>
  </sheetViews>
  <sheetFormatPr baseColWidth="10" defaultRowHeight="15" x14ac:dyDescent="0.25"/>
  <cols>
    <col min="2" max="2" width="22.1406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4.140625" bestFit="1" customWidth="1"/>
    <col min="9" max="9" width="13.7109375" bestFit="1" customWidth="1"/>
    <col min="10" max="10" width="7.85546875" bestFit="1" customWidth="1"/>
    <col min="11" max="11" width="8.42578125" bestFit="1" customWidth="1"/>
    <col min="12" max="12" width="6.7109375" bestFit="1" customWidth="1"/>
    <col min="13" max="13" width="17.7109375" bestFit="1" customWidth="1"/>
    <col min="14" max="14" width="13.7109375" bestFit="1" customWidth="1"/>
    <col min="15" max="15" width="7.85546875" bestFit="1" customWidth="1"/>
    <col min="16" max="16" width="8.42578125" bestFit="1" customWidth="1"/>
    <col min="17" max="17" width="6.7109375" bestFit="1" customWidth="1"/>
    <col min="18" max="18" width="19.140625" bestFit="1" customWidth="1"/>
    <col min="19" max="19" width="18.7109375" bestFit="1" customWidth="1"/>
    <col min="20" max="20" width="12.7109375" bestFit="1" customWidth="1"/>
    <col min="21" max="21" width="13.28515625" bestFit="1" customWidth="1"/>
    <col min="22" max="22" width="11.5703125" bestFit="1" customWidth="1"/>
    <col min="23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7" x14ac:dyDescent="0.25">
      <c r="B3" s="4" t="s">
        <v>64</v>
      </c>
      <c r="C3" t="s">
        <v>62</v>
      </c>
      <c r="D3" t="s">
        <v>63</v>
      </c>
      <c r="E3" t="s">
        <v>61</v>
      </c>
      <c r="F3" s="2" t="s">
        <v>66</v>
      </c>
      <c r="G3" t="s">
        <v>65</v>
      </c>
    </row>
    <row r="4" spans="2:7" x14ac:dyDescent="0.25">
      <c r="B4" s="5" t="s">
        <v>96</v>
      </c>
      <c r="C4" s="6">
        <v>323476.40813313099</v>
      </c>
      <c r="D4" s="6">
        <v>320490</v>
      </c>
      <c r="E4" s="7">
        <v>0.32022928045969251</v>
      </c>
      <c r="F4" s="7">
        <v>9.318256835255348E-3</v>
      </c>
      <c r="G4" s="7">
        <v>0.22934967255260291</v>
      </c>
    </row>
    <row r="5" spans="2:7" x14ac:dyDescent="0.25">
      <c r="B5" s="5" t="s">
        <v>97</v>
      </c>
      <c r="C5" s="6">
        <v>493497.75754428294</v>
      </c>
      <c r="D5" s="6">
        <v>494171</v>
      </c>
      <c r="E5" s="7">
        <v>0.1947608309769559</v>
      </c>
      <c r="F5" s="7">
        <v>1.362367390472245E-3</v>
      </c>
      <c r="G5" s="7">
        <v>0.10611855427967971</v>
      </c>
    </row>
    <row r="6" spans="2:7" x14ac:dyDescent="0.25">
      <c r="B6" s="5" t="s">
        <v>98</v>
      </c>
      <c r="C6" s="6">
        <v>98232.792156735755</v>
      </c>
      <c r="D6" s="6">
        <v>100800</v>
      </c>
      <c r="E6" s="7">
        <v>0.37887207989148974</v>
      </c>
      <c r="F6" s="7">
        <v>2.5468331778415128E-2</v>
      </c>
      <c r="G6" s="7">
        <v>0.41569397758375654</v>
      </c>
    </row>
    <row r="7" spans="2:7" x14ac:dyDescent="0.25">
      <c r="B7" s="5" t="s">
        <v>120</v>
      </c>
      <c r="C7" s="6">
        <v>915206.95783415018</v>
      </c>
      <c r="D7" s="6">
        <v>915461</v>
      </c>
      <c r="E7" s="7">
        <v>0.25895777357233385</v>
      </c>
      <c r="F7" s="7">
        <v>2.7750189887916965E-4</v>
      </c>
      <c r="G7" s="7">
        <v>0.17905607181995678</v>
      </c>
    </row>
    <row r="22" spans="13:13" x14ac:dyDescent="0.25">
      <c r="M22" s="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P54"/>
  <sheetViews>
    <sheetView zoomScale="115" zoomScaleNormal="115" workbookViewId="0">
      <selection activeCell="C4" sqref="C4"/>
    </sheetView>
  </sheetViews>
  <sheetFormatPr baseColWidth="10" defaultRowHeight="15" outlineLevelCol="1" x14ac:dyDescent="0.25"/>
  <cols>
    <col min="1" max="1" width="17.42578125" style="2" bestFit="1" customWidth="1"/>
    <col min="3" max="3" width="45.28515625" bestFit="1" customWidth="1"/>
    <col min="4" max="4" width="28.42578125" bestFit="1" customWidth="1"/>
    <col min="5" max="7" width="11.42578125" customWidth="1" outlineLevel="1"/>
    <col min="8" max="8" width="12" customWidth="1"/>
    <col min="9" max="9" width="12" customWidth="1" outlineLevel="1"/>
    <col min="10" max="10" width="14.85546875" bestFit="1" customWidth="1"/>
  </cols>
  <sheetData>
    <row r="2" spans="1:16" x14ac:dyDescent="0.25">
      <c r="A2" s="1" t="s">
        <v>93</v>
      </c>
      <c r="B2" s="1" t="s">
        <v>0</v>
      </c>
      <c r="C2" s="1" t="s">
        <v>100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58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3" t="s">
        <v>60</v>
      </c>
    </row>
    <row r="3" spans="1:16" x14ac:dyDescent="0.25">
      <c r="A3" s="2" t="s">
        <v>94</v>
      </c>
      <c r="B3" s="15" t="s">
        <v>45</v>
      </c>
      <c r="C3" t="s">
        <v>121</v>
      </c>
      <c r="D3" t="s">
        <v>46</v>
      </c>
      <c r="E3">
        <v>1956.1898671868439</v>
      </c>
      <c r="F3">
        <v>2190.928740080059</v>
      </c>
      <c r="G3">
        <v>34.711814135757031</v>
      </c>
      <c r="H3" t="s">
        <v>5</v>
      </c>
      <c r="I3">
        <f>_xlfn.XLOOKUP($B3,'raw data results'!$A:$A,'raw data results'!F:F)</f>
        <v>9923.9196838050793</v>
      </c>
      <c r="J3">
        <f>_xlfn.XLOOKUP($B3,'raw data results'!$A:$A,'raw data results'!G:G)</f>
        <v>9901.4516734405006</v>
      </c>
      <c r="K3">
        <f>_xlfn.XLOOKUP($B3,'raw data results'!$A:$A,'raw data results'!H:H)</f>
        <v>9901.4516734405006</v>
      </c>
      <c r="L3">
        <f>_xlfn.XLOOKUP($B3,'raw data results'!$A:$A,'raw data results'!I:I)</f>
        <v>9901.4516734405006</v>
      </c>
      <c r="M3">
        <f>_xlfn.XLOOKUP($B3,'raw data results'!$A:$A,'raw data results'!J:J)</f>
        <v>9901.4516734405006</v>
      </c>
      <c r="N3">
        <f>_xlfn.XLOOKUP($B3,'raw data results'!$A:$A,'raw data results'!K:K)</f>
        <v>9901.4516734405006</v>
      </c>
      <c r="O3">
        <f>_xlfn.XLOOKUP($B3,'raw data results'!$A:$A,'raw data results'!L:L)</f>
        <v>9901.4516734405006</v>
      </c>
      <c r="P3">
        <f t="shared" ref="P3:P6" si="0">SUM(I3:O3)</f>
        <v>69332.629724448096</v>
      </c>
    </row>
    <row r="4" spans="1:16" x14ac:dyDescent="0.25">
      <c r="A4" s="2" t="s">
        <v>94</v>
      </c>
      <c r="B4" s="15" t="s">
        <v>45</v>
      </c>
      <c r="C4" t="s">
        <v>121</v>
      </c>
      <c r="H4" t="s">
        <v>59</v>
      </c>
      <c r="I4">
        <v>15000</v>
      </c>
      <c r="J4">
        <v>15000</v>
      </c>
      <c r="K4">
        <v>3000</v>
      </c>
      <c r="L4">
        <v>12000</v>
      </c>
      <c r="M4">
        <v>12000</v>
      </c>
      <c r="N4">
        <v>3000</v>
      </c>
      <c r="O4">
        <v>10200</v>
      </c>
      <c r="P4">
        <f t="shared" si="0"/>
        <v>70200</v>
      </c>
    </row>
    <row r="5" spans="1:16" x14ac:dyDescent="0.25">
      <c r="A5" s="2" t="s">
        <v>94</v>
      </c>
      <c r="B5" s="15" t="s">
        <v>29</v>
      </c>
      <c r="C5" t="s">
        <v>82</v>
      </c>
      <c r="D5" t="s">
        <v>7</v>
      </c>
      <c r="E5">
        <v>813.81425760892671</v>
      </c>
      <c r="F5">
        <v>1042.018799645555</v>
      </c>
      <c r="G5">
        <v>47.058159602282373</v>
      </c>
      <c r="H5" t="s">
        <v>5</v>
      </c>
      <c r="I5">
        <f>_xlfn.XLOOKUP($B5,'raw data results'!$A:$A,'raw data results'!F:F)</f>
        <v>3209.1989594593001</v>
      </c>
      <c r="J5">
        <f>_xlfn.XLOOKUP($B5,'raw data results'!$A:$A,'raw data results'!G:G)</f>
        <v>4301.5601992032398</v>
      </c>
      <c r="K5">
        <f>_xlfn.XLOOKUP($B5,'raw data results'!$A:$A,'raw data results'!H:H)</f>
        <v>2307.3166967923698</v>
      </c>
      <c r="L5">
        <f>_xlfn.XLOOKUP($B5,'raw data results'!$A:$A,'raw data results'!I:I)</f>
        <v>4711.0689773809399</v>
      </c>
      <c r="M5">
        <f>_xlfn.XLOOKUP($B5,'raw data results'!$A:$A,'raw data results'!J:J)</f>
        <v>7662.2027320242996</v>
      </c>
      <c r="N5">
        <f>_xlfn.XLOOKUP($B5,'raw data results'!$A:$A,'raw data results'!K:K)</f>
        <v>2559.5007251820998</v>
      </c>
      <c r="O5">
        <f>_xlfn.XLOOKUP($B5,'raw data results'!$A:$A,'raw data results'!L:L)</f>
        <v>4149.3141422454</v>
      </c>
      <c r="P5">
        <f t="shared" si="0"/>
        <v>28900.162432287649</v>
      </c>
    </row>
    <row r="6" spans="1:16" x14ac:dyDescent="0.25">
      <c r="A6" s="2" t="s">
        <v>94</v>
      </c>
      <c r="B6" s="15" t="s">
        <v>29</v>
      </c>
      <c r="C6" t="s">
        <v>82</v>
      </c>
      <c r="H6" t="s">
        <v>59</v>
      </c>
      <c r="I6">
        <v>1800</v>
      </c>
      <c r="J6">
        <v>3840</v>
      </c>
      <c r="K6">
        <v>960</v>
      </c>
      <c r="L6">
        <v>4680</v>
      </c>
      <c r="M6">
        <v>13200</v>
      </c>
      <c r="N6">
        <v>1800</v>
      </c>
      <c r="O6">
        <v>4320</v>
      </c>
      <c r="P6">
        <f t="shared" si="0"/>
        <v>30600</v>
      </c>
    </row>
    <row r="7" spans="1:16" x14ac:dyDescent="0.25">
      <c r="A7" s="2" t="s">
        <v>95</v>
      </c>
      <c r="B7" s="13" t="s">
        <v>6</v>
      </c>
      <c r="C7" t="s">
        <v>31</v>
      </c>
      <c r="D7" t="s">
        <v>7</v>
      </c>
      <c r="E7">
        <v>3925.7900359975602</v>
      </c>
      <c r="F7">
        <v>4127.5523510104476</v>
      </c>
      <c r="G7">
        <v>25.56942245630032</v>
      </c>
      <c r="H7" t="s">
        <v>5</v>
      </c>
      <c r="I7">
        <v>14261.5643740379</v>
      </c>
      <c r="J7">
        <v>22971.843832294398</v>
      </c>
      <c r="K7">
        <v>11595.644240793599</v>
      </c>
      <c r="L7">
        <v>30148.511446268702</v>
      </c>
      <c r="M7">
        <v>25797.683815829601</v>
      </c>
      <c r="N7">
        <v>24092.3964217129</v>
      </c>
      <c r="O7">
        <v>21620.311486718201</v>
      </c>
      <c r="P7">
        <v>150487.9556176553</v>
      </c>
    </row>
    <row r="8" spans="1:16" x14ac:dyDescent="0.25">
      <c r="A8" s="2" t="s">
        <v>95</v>
      </c>
      <c r="B8" s="13" t="s">
        <v>6</v>
      </c>
      <c r="C8" t="s">
        <v>31</v>
      </c>
      <c r="H8" t="s">
        <v>59</v>
      </c>
      <c r="I8">
        <v>10800</v>
      </c>
      <c r="J8">
        <v>18000</v>
      </c>
      <c r="K8">
        <v>12000</v>
      </c>
      <c r="L8">
        <v>28320</v>
      </c>
      <c r="M8">
        <v>25800</v>
      </c>
      <c r="N8">
        <v>25800</v>
      </c>
      <c r="O8">
        <v>19800</v>
      </c>
      <c r="P8">
        <v>140520</v>
      </c>
    </row>
    <row r="9" spans="1:16" x14ac:dyDescent="0.25">
      <c r="A9" s="2" t="s">
        <v>95</v>
      </c>
      <c r="B9" s="13" t="s">
        <v>27</v>
      </c>
      <c r="C9" t="s">
        <v>108</v>
      </c>
      <c r="D9" t="s">
        <v>11</v>
      </c>
      <c r="E9">
        <v>989.15969777489931</v>
      </c>
      <c r="F9">
        <v>1182.289171929961</v>
      </c>
      <c r="G9">
        <v>34.357923627152111</v>
      </c>
      <c r="H9" t="s">
        <v>5</v>
      </c>
      <c r="I9">
        <v>4577.6308013313901</v>
      </c>
      <c r="J9">
        <v>5177.91232395918</v>
      </c>
      <c r="K9">
        <v>3665.6390551467498</v>
      </c>
      <c r="L9">
        <v>5465.6232787671297</v>
      </c>
      <c r="M9">
        <v>4393.5975197533699</v>
      </c>
      <c r="N9">
        <v>4452.1630101445699</v>
      </c>
      <c r="O9">
        <v>4536.5413538732601</v>
      </c>
      <c r="P9">
        <v>32269.107342975651</v>
      </c>
    </row>
    <row r="10" spans="1:16" x14ac:dyDescent="0.25">
      <c r="A10" s="2" t="s">
        <v>95</v>
      </c>
      <c r="B10" s="13" t="s">
        <v>27</v>
      </c>
      <c r="C10" t="s">
        <v>108</v>
      </c>
      <c r="H10" t="s">
        <v>59</v>
      </c>
      <c r="I10">
        <v>6000</v>
      </c>
      <c r="J10">
        <v>7050</v>
      </c>
      <c r="K10">
        <v>6000</v>
      </c>
      <c r="L10">
        <v>5550</v>
      </c>
      <c r="M10">
        <v>4050</v>
      </c>
      <c r="N10">
        <v>2250</v>
      </c>
      <c r="O10">
        <v>3000</v>
      </c>
      <c r="P10">
        <v>33900</v>
      </c>
    </row>
    <row r="11" spans="1:16" x14ac:dyDescent="0.25">
      <c r="A11" s="2" t="s">
        <v>95</v>
      </c>
      <c r="B11" s="13" t="s">
        <v>41</v>
      </c>
      <c r="C11" t="s">
        <v>109</v>
      </c>
      <c r="D11" t="s">
        <v>42</v>
      </c>
      <c r="E11">
        <v>2353.5581309654849</v>
      </c>
      <c r="F11">
        <v>3157.6619219648269</v>
      </c>
      <c r="G11">
        <v>25.146900039977101</v>
      </c>
      <c r="H11" t="s">
        <v>5</v>
      </c>
      <c r="I11">
        <v>11803.408952603701</v>
      </c>
      <c r="J11">
        <v>17218.709579730599</v>
      </c>
      <c r="K11">
        <v>9561.3007373013297</v>
      </c>
      <c r="L11">
        <v>16267.277304645801</v>
      </c>
      <c r="M11">
        <v>13134.815663313</v>
      </c>
      <c r="N11">
        <v>18300.197990832199</v>
      </c>
      <c r="O11">
        <v>16046.6902863709</v>
      </c>
      <c r="P11">
        <v>102332.40051479753</v>
      </c>
    </row>
    <row r="12" spans="1:16" x14ac:dyDescent="0.25">
      <c r="A12" s="2" t="s">
        <v>95</v>
      </c>
      <c r="B12" s="13" t="s">
        <v>41</v>
      </c>
      <c r="C12" t="s">
        <v>109</v>
      </c>
      <c r="H12" t="s">
        <v>59</v>
      </c>
      <c r="I12">
        <v>12000</v>
      </c>
      <c r="J12">
        <v>18000</v>
      </c>
      <c r="K12">
        <v>9000</v>
      </c>
      <c r="L12">
        <v>13200</v>
      </c>
      <c r="M12">
        <v>13200</v>
      </c>
      <c r="N12">
        <v>21000</v>
      </c>
      <c r="O12">
        <v>15000</v>
      </c>
      <c r="P12">
        <v>101400</v>
      </c>
    </row>
    <row r="13" spans="1:16" x14ac:dyDescent="0.25">
      <c r="A13" s="2" t="s">
        <v>95</v>
      </c>
      <c r="B13" s="13" t="s">
        <v>47</v>
      </c>
      <c r="C13" t="s">
        <v>90</v>
      </c>
      <c r="D13" t="s">
        <v>48</v>
      </c>
      <c r="E13">
        <v>962.4431793768556</v>
      </c>
      <c r="F13">
        <v>1179.105688242111</v>
      </c>
      <c r="G13">
        <v>45.400550503093548</v>
      </c>
      <c r="H13" t="s">
        <v>5</v>
      </c>
      <c r="I13">
        <v>607.62145007295896</v>
      </c>
      <c r="J13">
        <v>0</v>
      </c>
      <c r="K13">
        <v>0</v>
      </c>
      <c r="L13">
        <v>914.15518871854795</v>
      </c>
      <c r="M13">
        <v>3339.7011123397001</v>
      </c>
      <c r="N13">
        <v>2608.9964069265802</v>
      </c>
      <c r="O13">
        <v>1115.4246961502499</v>
      </c>
      <c r="P13">
        <v>8585.8988542080369</v>
      </c>
    </row>
    <row r="14" spans="1:16" x14ac:dyDescent="0.25">
      <c r="A14" s="2" t="s">
        <v>95</v>
      </c>
      <c r="B14" s="13" t="s">
        <v>47</v>
      </c>
      <c r="C14" t="s">
        <v>90</v>
      </c>
      <c r="H14" t="s">
        <v>59</v>
      </c>
      <c r="I14">
        <v>300</v>
      </c>
      <c r="J14">
        <v>600</v>
      </c>
      <c r="K14">
        <v>0</v>
      </c>
      <c r="L14">
        <v>0</v>
      </c>
      <c r="M14">
        <v>4500</v>
      </c>
      <c r="N14">
        <v>5160</v>
      </c>
      <c r="O14">
        <v>4200</v>
      </c>
      <c r="P14">
        <v>14760</v>
      </c>
    </row>
    <row r="15" spans="1:16" x14ac:dyDescent="0.25">
      <c r="A15" s="2" t="s">
        <v>95</v>
      </c>
      <c r="B15" s="13" t="s">
        <v>49</v>
      </c>
      <c r="C15" t="s">
        <v>106</v>
      </c>
      <c r="D15" t="s">
        <v>50</v>
      </c>
      <c r="E15">
        <v>462.65278701651039</v>
      </c>
      <c r="F15">
        <v>523.1664641103107</v>
      </c>
      <c r="G15">
        <v>107.072613748397</v>
      </c>
      <c r="H15" t="s">
        <v>5</v>
      </c>
      <c r="I15">
        <v>620.548334715186</v>
      </c>
      <c r="J15">
        <v>795.01710384657395</v>
      </c>
      <c r="K15">
        <v>475.80637539099899</v>
      </c>
      <c r="L15">
        <v>1473.50511646312</v>
      </c>
      <c r="M15">
        <v>1246.8287736285099</v>
      </c>
      <c r="N15">
        <v>1051.29988844278</v>
      </c>
      <c r="O15">
        <v>307.17502788930398</v>
      </c>
      <c r="P15">
        <v>5970.1806203764727</v>
      </c>
    </row>
    <row r="16" spans="1:16" x14ac:dyDescent="0.25">
      <c r="A16" s="2" t="s">
        <v>95</v>
      </c>
      <c r="B16" s="13" t="s">
        <v>49</v>
      </c>
      <c r="C16" t="s">
        <v>106</v>
      </c>
      <c r="H16" t="s">
        <v>59</v>
      </c>
      <c r="I16">
        <v>0</v>
      </c>
      <c r="J16">
        <v>1680</v>
      </c>
      <c r="K16">
        <v>420</v>
      </c>
      <c r="L16">
        <v>1200</v>
      </c>
      <c r="M16">
        <v>1200</v>
      </c>
      <c r="N16">
        <v>2760</v>
      </c>
      <c r="O16">
        <v>120</v>
      </c>
      <c r="P16">
        <v>7380</v>
      </c>
    </row>
    <row r="17" spans="1:16" x14ac:dyDescent="0.25">
      <c r="A17" s="2" t="s">
        <v>95</v>
      </c>
      <c r="B17" s="13" t="s">
        <v>8</v>
      </c>
      <c r="C17" t="s">
        <v>31</v>
      </c>
      <c r="D17" t="s">
        <v>9</v>
      </c>
      <c r="E17">
        <v>250.8257294371891</v>
      </c>
      <c r="F17">
        <v>290.17225582680391</v>
      </c>
      <c r="G17">
        <v>36.626048430824078</v>
      </c>
      <c r="H17" t="s">
        <v>5</v>
      </c>
      <c r="I17">
        <v>902.67276471630203</v>
      </c>
      <c r="J17">
        <v>1147.2563334036099</v>
      </c>
      <c r="K17">
        <v>1002.29599269004</v>
      </c>
      <c r="L17">
        <v>1521.9647536817199</v>
      </c>
      <c r="M17">
        <v>1436.36668868112</v>
      </c>
      <c r="N17">
        <v>577.69511580356505</v>
      </c>
      <c r="O17">
        <v>1655.5762210491</v>
      </c>
      <c r="P17">
        <v>8243.8278700254559</v>
      </c>
    </row>
    <row r="18" spans="1:16" x14ac:dyDescent="0.25">
      <c r="A18" s="2" t="s">
        <v>95</v>
      </c>
      <c r="B18" s="13" t="s">
        <v>8</v>
      </c>
      <c r="C18" t="s">
        <v>31</v>
      </c>
      <c r="H18" t="s">
        <v>59</v>
      </c>
      <c r="I18">
        <v>1500</v>
      </c>
      <c r="J18">
        <v>1080</v>
      </c>
      <c r="K18">
        <v>1200</v>
      </c>
      <c r="L18">
        <v>1500</v>
      </c>
      <c r="M18">
        <v>1620</v>
      </c>
      <c r="N18">
        <v>600</v>
      </c>
      <c r="O18">
        <v>1680</v>
      </c>
      <c r="P18">
        <v>9180</v>
      </c>
    </row>
    <row r="19" spans="1:16" x14ac:dyDescent="0.25">
      <c r="A19" s="2" t="s">
        <v>95</v>
      </c>
      <c r="B19" s="13" t="s">
        <v>10</v>
      </c>
      <c r="C19" t="s">
        <v>11</v>
      </c>
      <c r="D19" t="s">
        <v>11</v>
      </c>
      <c r="E19">
        <v>232.01019361116209</v>
      </c>
      <c r="F19">
        <v>321.73949429821857</v>
      </c>
      <c r="G19">
        <v>21.22618517996062</v>
      </c>
      <c r="H19" t="s">
        <v>5</v>
      </c>
      <c r="I19">
        <v>1077.63627605179</v>
      </c>
      <c r="J19">
        <v>1633.6310922129701</v>
      </c>
      <c r="K19">
        <v>327.36498360361202</v>
      </c>
      <c r="L19">
        <v>675.87699271140195</v>
      </c>
      <c r="M19">
        <v>1270.3820690717901</v>
      </c>
      <c r="N19">
        <v>593.75069132050305</v>
      </c>
      <c r="O19">
        <v>1878.0655361518</v>
      </c>
      <c r="P19">
        <v>7456.7076411238677</v>
      </c>
    </row>
    <row r="20" spans="1:16" x14ac:dyDescent="0.25">
      <c r="A20" s="2" t="s">
        <v>95</v>
      </c>
      <c r="B20" s="13" t="s">
        <v>10</v>
      </c>
      <c r="C20" t="s">
        <v>11</v>
      </c>
      <c r="H20" t="s">
        <v>59</v>
      </c>
      <c r="I20">
        <v>660</v>
      </c>
      <c r="J20">
        <v>1680</v>
      </c>
      <c r="K20">
        <v>360</v>
      </c>
      <c r="L20">
        <v>1080</v>
      </c>
      <c r="M20">
        <v>1380</v>
      </c>
      <c r="N20">
        <v>600</v>
      </c>
      <c r="O20">
        <v>1440</v>
      </c>
      <c r="P20">
        <v>7200</v>
      </c>
    </row>
    <row r="21" spans="1:16" x14ac:dyDescent="0.25">
      <c r="A21" s="2" t="s">
        <v>95</v>
      </c>
      <c r="B21" s="13" t="s">
        <v>12</v>
      </c>
      <c r="C21" t="s">
        <v>101</v>
      </c>
      <c r="D21" t="s">
        <v>13</v>
      </c>
      <c r="E21">
        <v>296.26053684072389</v>
      </c>
      <c r="F21">
        <v>356.25712892085892</v>
      </c>
      <c r="G21">
        <v>67.848572106542051</v>
      </c>
      <c r="H21" t="s">
        <v>5</v>
      </c>
      <c r="I21">
        <v>337.06929370205</v>
      </c>
      <c r="J21">
        <v>511.85040898856698</v>
      </c>
      <c r="K21">
        <v>323.11760486685301</v>
      </c>
      <c r="L21">
        <v>367.12942843317597</v>
      </c>
      <c r="M21">
        <v>622.56800047581203</v>
      </c>
      <c r="N21">
        <v>842.73433558518104</v>
      </c>
      <c r="O21">
        <v>694.82662369085904</v>
      </c>
      <c r="P21">
        <v>3699.2956957424981</v>
      </c>
    </row>
    <row r="22" spans="1:16" x14ac:dyDescent="0.25">
      <c r="A22" s="2" t="s">
        <v>95</v>
      </c>
      <c r="B22" s="13" t="s">
        <v>12</v>
      </c>
      <c r="C22" t="s">
        <v>101</v>
      </c>
      <c r="H22" t="s">
        <v>59</v>
      </c>
      <c r="I22">
        <v>240</v>
      </c>
      <c r="J22">
        <v>420</v>
      </c>
      <c r="K22">
        <v>0</v>
      </c>
      <c r="L22">
        <v>600</v>
      </c>
      <c r="M22">
        <v>660</v>
      </c>
      <c r="N22">
        <v>1260</v>
      </c>
      <c r="O22">
        <v>720</v>
      </c>
      <c r="P22">
        <v>3900</v>
      </c>
    </row>
    <row r="23" spans="1:16" x14ac:dyDescent="0.25">
      <c r="A23" s="2" t="s">
        <v>95</v>
      </c>
      <c r="B23" s="13" t="s">
        <v>14</v>
      </c>
      <c r="C23" t="s">
        <v>102</v>
      </c>
      <c r="D23" t="s">
        <v>15</v>
      </c>
      <c r="E23">
        <v>160.97657494077799</v>
      </c>
      <c r="F23">
        <v>194.897187182262</v>
      </c>
      <c r="G23">
        <v>51.351086734902431</v>
      </c>
      <c r="H23" t="s">
        <v>5</v>
      </c>
      <c r="I23">
        <v>359.16700444968097</v>
      </c>
      <c r="J23">
        <v>480.80388818386501</v>
      </c>
      <c r="K23">
        <v>170.35752273084901</v>
      </c>
      <c r="L23">
        <v>318.871990056382</v>
      </c>
      <c r="M23">
        <v>572.74754508269996</v>
      </c>
      <c r="N23">
        <v>721.64102820503899</v>
      </c>
      <c r="O23">
        <v>669.78088235187397</v>
      </c>
      <c r="P23">
        <v>3293.3698610603901</v>
      </c>
    </row>
    <row r="24" spans="1:16" x14ac:dyDescent="0.25">
      <c r="A24" s="2" t="s">
        <v>95</v>
      </c>
      <c r="B24" s="13" t="s">
        <v>14</v>
      </c>
      <c r="C24" t="s">
        <v>102</v>
      </c>
      <c r="H24" t="s">
        <v>59</v>
      </c>
      <c r="I24">
        <v>120</v>
      </c>
      <c r="J24">
        <v>540</v>
      </c>
      <c r="K24">
        <v>300</v>
      </c>
      <c r="L24">
        <v>600</v>
      </c>
      <c r="M24">
        <v>960</v>
      </c>
      <c r="N24">
        <v>480</v>
      </c>
      <c r="O24">
        <v>900</v>
      </c>
      <c r="P24">
        <v>3900</v>
      </c>
    </row>
    <row r="25" spans="1:16" x14ac:dyDescent="0.25">
      <c r="A25" s="2" t="s">
        <v>95</v>
      </c>
      <c r="B25" s="13" t="s">
        <v>16</v>
      </c>
      <c r="C25" t="s">
        <v>15</v>
      </c>
      <c r="D25" t="s">
        <v>17</v>
      </c>
      <c r="E25">
        <v>939.33386694631668</v>
      </c>
      <c r="F25">
        <v>1067.3594698468521</v>
      </c>
      <c r="G25">
        <v>115.81230879155331</v>
      </c>
      <c r="H25" t="s">
        <v>5</v>
      </c>
      <c r="I25">
        <v>2104.51747461901</v>
      </c>
      <c r="J25">
        <v>2124.1734334836501</v>
      </c>
      <c r="K25">
        <v>2143.8293923482902</v>
      </c>
      <c r="L25">
        <v>2163.4853512129298</v>
      </c>
      <c r="M25">
        <v>2183.1413100775799</v>
      </c>
      <c r="N25">
        <v>2202.7972689422199</v>
      </c>
      <c r="O25">
        <v>2222.45322780686</v>
      </c>
      <c r="P25">
        <v>15144.397458490543</v>
      </c>
    </row>
    <row r="26" spans="1:16" x14ac:dyDescent="0.25">
      <c r="A26" s="2" t="s">
        <v>95</v>
      </c>
      <c r="B26" s="13" t="s">
        <v>16</v>
      </c>
      <c r="C26" t="s">
        <v>15</v>
      </c>
      <c r="H26" t="s">
        <v>59</v>
      </c>
      <c r="I26">
        <v>1800</v>
      </c>
      <c r="J26">
        <v>1200</v>
      </c>
      <c r="K26">
        <v>2040</v>
      </c>
      <c r="L26">
        <v>2040</v>
      </c>
      <c r="M26">
        <v>6840</v>
      </c>
      <c r="N26">
        <v>360</v>
      </c>
      <c r="O26">
        <v>1560</v>
      </c>
      <c r="P26">
        <v>15840</v>
      </c>
    </row>
    <row r="27" spans="1:16" x14ac:dyDescent="0.25">
      <c r="A27" s="2" t="s">
        <v>95</v>
      </c>
      <c r="B27" s="13" t="s">
        <v>20</v>
      </c>
      <c r="C27" t="s">
        <v>107</v>
      </c>
      <c r="D27" t="s">
        <v>15</v>
      </c>
      <c r="E27">
        <v>661.29510376690723</v>
      </c>
      <c r="F27">
        <v>757.71701397042295</v>
      </c>
      <c r="G27">
        <v>76.278076053253443</v>
      </c>
      <c r="H27" t="s">
        <v>5</v>
      </c>
      <c r="I27">
        <v>4614.3797548801804</v>
      </c>
      <c r="J27">
        <v>3591.2231018682801</v>
      </c>
      <c r="K27">
        <v>0</v>
      </c>
      <c r="L27">
        <v>4180.03063285998</v>
      </c>
      <c r="M27">
        <v>3943.3370775438898</v>
      </c>
      <c r="N27">
        <v>3734.4809734850601</v>
      </c>
      <c r="O27">
        <v>4084.0238996230401</v>
      </c>
      <c r="P27">
        <v>24147.47544026043</v>
      </c>
    </row>
    <row r="28" spans="1:16" x14ac:dyDescent="0.25">
      <c r="A28" s="2" t="s">
        <v>95</v>
      </c>
      <c r="B28" s="13" t="s">
        <v>20</v>
      </c>
      <c r="C28" t="s">
        <v>107</v>
      </c>
      <c r="H28" t="s">
        <v>59</v>
      </c>
      <c r="I28">
        <v>4200</v>
      </c>
      <c r="J28">
        <v>6000</v>
      </c>
      <c r="K28">
        <v>0</v>
      </c>
      <c r="L28">
        <v>4800</v>
      </c>
      <c r="M28">
        <v>2250</v>
      </c>
      <c r="N28">
        <v>3450</v>
      </c>
      <c r="O28">
        <v>3900</v>
      </c>
      <c r="P28">
        <v>24600</v>
      </c>
    </row>
    <row r="29" spans="1:16" x14ac:dyDescent="0.25">
      <c r="A29" s="2" t="s">
        <v>95</v>
      </c>
      <c r="B29" s="13" t="s">
        <v>21</v>
      </c>
      <c r="C29" t="s">
        <v>15</v>
      </c>
      <c r="D29" t="s">
        <v>22</v>
      </c>
      <c r="E29">
        <v>2382.0891339504192</v>
      </c>
      <c r="F29">
        <v>2836.6794935983348</v>
      </c>
      <c r="G29">
        <v>30.805129351237031</v>
      </c>
      <c r="H29" t="s">
        <v>5</v>
      </c>
      <c r="I29">
        <v>14752.824758475101</v>
      </c>
      <c r="J29">
        <v>9575.0622001900392</v>
      </c>
      <c r="K29">
        <v>8807.6743439293805</v>
      </c>
      <c r="L29">
        <v>10301.719681442801</v>
      </c>
      <c r="M29">
        <v>18740.737446497598</v>
      </c>
      <c r="N29">
        <v>9626.7417478951393</v>
      </c>
      <c r="O29">
        <v>10667.8806874127</v>
      </c>
      <c r="P29">
        <v>82472.640865842768</v>
      </c>
    </row>
    <row r="30" spans="1:16" x14ac:dyDescent="0.25">
      <c r="A30" s="2" t="s">
        <v>95</v>
      </c>
      <c r="B30" s="13" t="s">
        <v>21</v>
      </c>
      <c r="C30" t="s">
        <v>15</v>
      </c>
      <c r="H30" t="s">
        <v>59</v>
      </c>
      <c r="I30">
        <v>13800</v>
      </c>
      <c r="J30">
        <v>9000</v>
      </c>
      <c r="K30">
        <v>15600</v>
      </c>
      <c r="L30">
        <v>12671</v>
      </c>
      <c r="M30">
        <v>15600</v>
      </c>
      <c r="N30">
        <v>4200</v>
      </c>
      <c r="O30">
        <v>12000</v>
      </c>
      <c r="P30">
        <v>82871</v>
      </c>
    </row>
    <row r="31" spans="1:16" x14ac:dyDescent="0.25">
      <c r="A31" s="2" t="s">
        <v>95</v>
      </c>
      <c r="B31" s="13" t="s">
        <v>23</v>
      </c>
      <c r="C31" t="s">
        <v>104</v>
      </c>
      <c r="D31" t="s">
        <v>24</v>
      </c>
      <c r="E31">
        <v>612.43592702386366</v>
      </c>
      <c r="F31">
        <v>718.28157810713992</v>
      </c>
      <c r="G31">
        <v>66.867217029209598</v>
      </c>
      <c r="H31" t="s">
        <v>5</v>
      </c>
      <c r="I31">
        <v>2226.6381372200799</v>
      </c>
      <c r="J31">
        <v>2226.6381372200799</v>
      </c>
      <c r="K31">
        <v>2226.6381372200799</v>
      </c>
      <c r="L31">
        <v>2226.6381372200799</v>
      </c>
      <c r="M31">
        <v>2226.6381372200799</v>
      </c>
      <c r="N31">
        <v>2226.6381372200799</v>
      </c>
      <c r="O31">
        <v>2226.6381372200799</v>
      </c>
      <c r="P31">
        <v>15586.466960540558</v>
      </c>
    </row>
    <row r="32" spans="1:16" x14ac:dyDescent="0.25">
      <c r="A32" s="2" t="s">
        <v>95</v>
      </c>
      <c r="B32" s="13" t="s">
        <v>23</v>
      </c>
      <c r="C32" t="s">
        <v>104</v>
      </c>
      <c r="H32" t="s">
        <v>59</v>
      </c>
      <c r="I32">
        <v>1680</v>
      </c>
      <c r="J32">
        <v>3120</v>
      </c>
      <c r="K32">
        <v>1800</v>
      </c>
      <c r="L32">
        <v>2760</v>
      </c>
      <c r="M32">
        <v>2760</v>
      </c>
      <c r="N32">
        <v>2040</v>
      </c>
      <c r="O32">
        <v>960</v>
      </c>
      <c r="P32">
        <v>15120</v>
      </c>
    </row>
    <row r="33" spans="1:16" x14ac:dyDescent="0.25">
      <c r="A33" s="2" t="s">
        <v>95</v>
      </c>
      <c r="B33" s="13" t="s">
        <v>32</v>
      </c>
      <c r="C33" t="s">
        <v>109</v>
      </c>
      <c r="D33" t="s">
        <v>13</v>
      </c>
      <c r="E33">
        <v>845.27351296227573</v>
      </c>
      <c r="F33">
        <v>1138.349998467146</v>
      </c>
      <c r="G33">
        <v>30.618483883451749</v>
      </c>
      <c r="H33" t="s">
        <v>5</v>
      </c>
      <c r="I33">
        <v>4246.1409749024297</v>
      </c>
      <c r="J33">
        <v>5154.5191479350497</v>
      </c>
      <c r="K33">
        <v>1972.45296164051</v>
      </c>
      <c r="L33">
        <v>6824.2987174215896</v>
      </c>
      <c r="M33">
        <v>6798.4114287088496</v>
      </c>
      <c r="N33">
        <v>2406.1203667611599</v>
      </c>
      <c r="O33">
        <v>6406.08920381391</v>
      </c>
      <c r="P33">
        <v>33808.032801183494</v>
      </c>
    </row>
    <row r="34" spans="1:16" x14ac:dyDescent="0.25">
      <c r="A34" s="2" t="s">
        <v>95</v>
      </c>
      <c r="B34" s="13" t="s">
        <v>32</v>
      </c>
      <c r="C34" t="s">
        <v>109</v>
      </c>
      <c r="H34" t="s">
        <v>59</v>
      </c>
      <c r="I34">
        <v>5160</v>
      </c>
      <c r="J34">
        <v>3720</v>
      </c>
      <c r="K34">
        <v>3000</v>
      </c>
      <c r="L34">
        <v>4800</v>
      </c>
      <c r="M34">
        <v>6720</v>
      </c>
      <c r="N34">
        <v>2400</v>
      </c>
      <c r="O34">
        <v>7800</v>
      </c>
      <c r="P34">
        <v>33600</v>
      </c>
    </row>
    <row r="35" spans="1:16" x14ac:dyDescent="0.25">
      <c r="A35" s="2" t="s">
        <v>96</v>
      </c>
      <c r="B35" s="14" t="s">
        <v>38</v>
      </c>
      <c r="C35" t="s">
        <v>109</v>
      </c>
      <c r="D35" t="s">
        <v>39</v>
      </c>
      <c r="E35">
        <v>4618.5294569916614</v>
      </c>
      <c r="F35">
        <v>5226.9588533476044</v>
      </c>
      <c r="G35">
        <v>64.938720114147969</v>
      </c>
      <c r="H35" t="s">
        <v>5</v>
      </c>
      <c r="I35">
        <v>13368.327049369</v>
      </c>
      <c r="J35">
        <v>14947.5282774022</v>
      </c>
      <c r="K35">
        <v>12300.1030117262</v>
      </c>
      <c r="L35">
        <v>15806.682219726899</v>
      </c>
      <c r="M35">
        <v>14442.0118159472</v>
      </c>
      <c r="N35">
        <v>9306.1654872028903</v>
      </c>
      <c r="O35">
        <v>11884.072408146199</v>
      </c>
      <c r="P35">
        <f t="shared" ref="P35:P48" si="1">SUM(I35:O35)</f>
        <v>92054.890269520576</v>
      </c>
    </row>
    <row r="36" spans="1:16" x14ac:dyDescent="0.25">
      <c r="A36" s="2" t="s">
        <v>96</v>
      </c>
      <c r="B36" s="14" t="s">
        <v>38</v>
      </c>
      <c r="C36" t="s">
        <v>109</v>
      </c>
      <c r="H36" t="s">
        <v>59</v>
      </c>
      <c r="I36">
        <v>12000</v>
      </c>
      <c r="J36">
        <v>18000</v>
      </c>
      <c r="K36">
        <v>9000</v>
      </c>
      <c r="L36">
        <v>21000</v>
      </c>
      <c r="M36">
        <v>15000</v>
      </c>
      <c r="N36">
        <v>6000</v>
      </c>
      <c r="O36">
        <v>9000</v>
      </c>
      <c r="P36">
        <f t="shared" si="1"/>
        <v>90000</v>
      </c>
    </row>
    <row r="37" spans="1:16" x14ac:dyDescent="0.25">
      <c r="A37" s="2" t="s">
        <v>96</v>
      </c>
      <c r="B37" s="14" t="s">
        <v>40</v>
      </c>
      <c r="C37" t="s">
        <v>109</v>
      </c>
      <c r="D37" t="s">
        <v>31</v>
      </c>
      <c r="E37">
        <v>1220.241812445295</v>
      </c>
      <c r="F37">
        <v>1466.6586656585989</v>
      </c>
      <c r="G37">
        <v>32.756126858919252</v>
      </c>
      <c r="H37" t="s">
        <v>5</v>
      </c>
      <c r="I37">
        <v>4244.4324936697003</v>
      </c>
      <c r="J37">
        <v>3350.2195904531</v>
      </c>
      <c r="K37">
        <v>5259.2929499725897</v>
      </c>
      <c r="L37">
        <v>4665.2234707494199</v>
      </c>
      <c r="M37">
        <v>5283.1007551033299</v>
      </c>
      <c r="N37">
        <v>4704.5080350648896</v>
      </c>
      <c r="O37">
        <v>5192.3206764239503</v>
      </c>
      <c r="P37">
        <f t="shared" si="1"/>
        <v>32699.097971436979</v>
      </c>
    </row>
    <row r="38" spans="1:16" x14ac:dyDescent="0.25">
      <c r="A38" s="2" t="s">
        <v>96</v>
      </c>
      <c r="B38" s="14" t="s">
        <v>40</v>
      </c>
      <c r="C38" t="s">
        <v>109</v>
      </c>
      <c r="H38" t="s">
        <v>59</v>
      </c>
      <c r="I38">
        <v>3750</v>
      </c>
      <c r="J38">
        <v>4800</v>
      </c>
      <c r="K38">
        <v>4800</v>
      </c>
      <c r="L38">
        <v>5250</v>
      </c>
      <c r="M38">
        <v>4500</v>
      </c>
      <c r="N38">
        <v>3000</v>
      </c>
      <c r="O38">
        <v>4500</v>
      </c>
      <c r="P38">
        <f t="shared" si="1"/>
        <v>30600</v>
      </c>
    </row>
    <row r="39" spans="1:16" x14ac:dyDescent="0.25">
      <c r="A39" s="2" t="s">
        <v>96</v>
      </c>
      <c r="B39" s="14" t="s">
        <v>43</v>
      </c>
      <c r="C39" t="s">
        <v>104</v>
      </c>
      <c r="D39" t="s">
        <v>44</v>
      </c>
      <c r="E39">
        <v>753.87503631855714</v>
      </c>
      <c r="F39">
        <v>857.07940067147956</v>
      </c>
      <c r="G39">
        <v>37.464813898128398</v>
      </c>
      <c r="H39" t="s">
        <v>5</v>
      </c>
      <c r="I39">
        <v>3859.7026418333098</v>
      </c>
      <c r="J39">
        <v>3025.5937917443698</v>
      </c>
      <c r="K39">
        <v>2359.9543787941502</v>
      </c>
      <c r="L39">
        <v>3726.8789716073202</v>
      </c>
      <c r="M39">
        <v>2723.5092371287401</v>
      </c>
      <c r="N39">
        <v>1955.8328830281901</v>
      </c>
      <c r="O39">
        <v>3270.5586388714401</v>
      </c>
      <c r="P39">
        <f t="shared" si="1"/>
        <v>20922.03054300752</v>
      </c>
    </row>
    <row r="40" spans="1:16" x14ac:dyDescent="0.25">
      <c r="A40" s="2" t="s">
        <v>96</v>
      </c>
      <c r="B40" s="14" t="s">
        <v>43</v>
      </c>
      <c r="C40" t="s">
        <v>104</v>
      </c>
      <c r="H40" t="s">
        <v>59</v>
      </c>
      <c r="I40">
        <v>3750</v>
      </c>
      <c r="J40">
        <v>3300</v>
      </c>
      <c r="K40">
        <v>1500</v>
      </c>
      <c r="L40">
        <v>3900</v>
      </c>
      <c r="M40">
        <v>3150</v>
      </c>
      <c r="N40">
        <v>2250</v>
      </c>
      <c r="O40">
        <v>3000</v>
      </c>
      <c r="P40">
        <f t="shared" si="1"/>
        <v>20850</v>
      </c>
    </row>
    <row r="41" spans="1:16" x14ac:dyDescent="0.25">
      <c r="A41" s="2" t="s">
        <v>96</v>
      </c>
      <c r="B41" s="14" t="s">
        <v>18</v>
      </c>
      <c r="C41" t="s">
        <v>103</v>
      </c>
      <c r="D41" t="s">
        <v>19</v>
      </c>
      <c r="E41">
        <v>309.20839052124751</v>
      </c>
      <c r="F41">
        <v>357.36821809047171</v>
      </c>
      <c r="G41">
        <v>61.033661873628851</v>
      </c>
      <c r="H41" t="s">
        <v>5</v>
      </c>
      <c r="I41">
        <v>513.68316650390602</v>
      </c>
      <c r="J41">
        <v>533.84167480468705</v>
      </c>
      <c r="K41">
        <v>938.74566650390602</v>
      </c>
      <c r="L41">
        <v>1733.73266601562</v>
      </c>
      <c r="M41">
        <v>786.09271240234295</v>
      </c>
      <c r="N41">
        <v>1522.77160644531</v>
      </c>
      <c r="O41">
        <v>781.307373046875</v>
      </c>
      <c r="P41">
        <f t="shared" si="1"/>
        <v>6810.1748657226472</v>
      </c>
    </row>
    <row r="42" spans="1:16" x14ac:dyDescent="0.25">
      <c r="A42" s="2" t="s">
        <v>96</v>
      </c>
      <c r="B42" s="14" t="s">
        <v>18</v>
      </c>
      <c r="C42" t="s">
        <v>103</v>
      </c>
      <c r="H42" t="s">
        <v>59</v>
      </c>
      <c r="I42">
        <v>600</v>
      </c>
      <c r="J42">
        <v>600</v>
      </c>
      <c r="K42">
        <v>840</v>
      </c>
      <c r="L42">
        <v>2040</v>
      </c>
      <c r="M42">
        <v>840</v>
      </c>
      <c r="N42">
        <v>1200</v>
      </c>
      <c r="O42">
        <v>840</v>
      </c>
      <c r="P42">
        <f t="shared" si="1"/>
        <v>6960</v>
      </c>
    </row>
    <row r="43" spans="1:16" x14ac:dyDescent="0.25">
      <c r="A43" s="2" t="s">
        <v>96</v>
      </c>
      <c r="B43" s="14" t="s">
        <v>25</v>
      </c>
      <c r="C43" t="s">
        <v>105</v>
      </c>
      <c r="D43" t="s">
        <v>26</v>
      </c>
      <c r="E43">
        <v>1539.8361297229981</v>
      </c>
      <c r="F43">
        <v>1748.0411359700061</v>
      </c>
      <c r="G43">
        <v>85.143736389780827</v>
      </c>
      <c r="H43" t="s">
        <v>5</v>
      </c>
      <c r="I43">
        <v>4350</v>
      </c>
      <c r="J43">
        <v>2010</v>
      </c>
      <c r="K43">
        <v>1860</v>
      </c>
      <c r="L43">
        <v>3480</v>
      </c>
      <c r="M43">
        <v>5100</v>
      </c>
      <c r="N43">
        <v>3900</v>
      </c>
      <c r="O43">
        <v>3255</v>
      </c>
      <c r="P43">
        <f t="shared" si="1"/>
        <v>23955</v>
      </c>
    </row>
    <row r="44" spans="1:16" x14ac:dyDescent="0.25">
      <c r="A44" s="2" t="s">
        <v>96</v>
      </c>
      <c r="B44" s="14" t="s">
        <v>25</v>
      </c>
      <c r="C44" t="s">
        <v>105</v>
      </c>
      <c r="H44" t="s">
        <v>59</v>
      </c>
      <c r="I44">
        <v>8400</v>
      </c>
      <c r="J44">
        <v>240</v>
      </c>
      <c r="K44">
        <v>4200</v>
      </c>
      <c r="L44">
        <v>6240</v>
      </c>
      <c r="M44">
        <v>3240</v>
      </c>
      <c r="N44">
        <v>1200</v>
      </c>
      <c r="O44">
        <v>4200</v>
      </c>
      <c r="P44">
        <f t="shared" si="1"/>
        <v>27720</v>
      </c>
    </row>
    <row r="45" spans="1:16" x14ac:dyDescent="0.25">
      <c r="A45" s="2" t="s">
        <v>96</v>
      </c>
      <c r="B45" s="14" t="s">
        <v>28</v>
      </c>
      <c r="C45" t="s">
        <v>15</v>
      </c>
      <c r="D45" t="s">
        <v>15</v>
      </c>
      <c r="E45">
        <v>4179.3864350094555</v>
      </c>
      <c r="F45">
        <v>4558.8898054449564</v>
      </c>
      <c r="G45">
        <v>110.2300068228071</v>
      </c>
      <c r="H45" t="s">
        <v>5</v>
      </c>
      <c r="I45">
        <v>20603.591743652101</v>
      </c>
      <c r="J45">
        <v>1925.32838398083</v>
      </c>
      <c r="K45">
        <v>7963.9648328716703</v>
      </c>
      <c r="L45">
        <v>13717.6532387435</v>
      </c>
      <c r="M45">
        <v>7801.81024984337</v>
      </c>
      <c r="N45">
        <v>6523.14940214529</v>
      </c>
      <c r="O45">
        <v>6065.56881729</v>
      </c>
      <c r="P45">
        <f t="shared" si="1"/>
        <v>64601.066668526764</v>
      </c>
    </row>
    <row r="46" spans="1:16" x14ac:dyDescent="0.25">
      <c r="A46" s="2" t="s">
        <v>96</v>
      </c>
      <c r="B46" s="14" t="s">
        <v>28</v>
      </c>
      <c r="C46" t="s">
        <v>15</v>
      </c>
      <c r="H46" t="s">
        <v>59</v>
      </c>
      <c r="I46">
        <v>8400</v>
      </c>
      <c r="J46">
        <v>1800</v>
      </c>
      <c r="K46">
        <v>5400</v>
      </c>
      <c r="L46">
        <v>10800</v>
      </c>
      <c r="M46">
        <v>16800</v>
      </c>
      <c r="N46">
        <v>6360</v>
      </c>
      <c r="O46">
        <v>10800</v>
      </c>
      <c r="P46">
        <f t="shared" si="1"/>
        <v>60360</v>
      </c>
    </row>
    <row r="47" spans="1:16" x14ac:dyDescent="0.25">
      <c r="A47" s="2" t="s">
        <v>96</v>
      </c>
      <c r="B47" s="14" t="s">
        <v>30</v>
      </c>
      <c r="C47" t="s">
        <v>82</v>
      </c>
      <c r="D47" t="s">
        <v>31</v>
      </c>
      <c r="E47">
        <v>1415.177839323253</v>
      </c>
      <c r="F47">
        <v>1806.61819567406</v>
      </c>
      <c r="G47">
        <v>117.61892519584801</v>
      </c>
      <c r="H47" t="s">
        <v>5</v>
      </c>
      <c r="I47">
        <v>3116.6119789239701</v>
      </c>
      <c r="J47">
        <v>1823.15443227678</v>
      </c>
      <c r="K47">
        <v>1153.3182293623399</v>
      </c>
      <c r="L47">
        <v>4419.9290176676204</v>
      </c>
      <c r="M47">
        <v>5542.4764088645497</v>
      </c>
      <c r="N47">
        <v>5220.6738233263104</v>
      </c>
      <c r="O47">
        <v>2953.6122369241998</v>
      </c>
      <c r="P47">
        <f t="shared" si="1"/>
        <v>24229.776127345769</v>
      </c>
    </row>
    <row r="48" spans="1:16" x14ac:dyDescent="0.25">
      <c r="A48" s="2" t="s">
        <v>96</v>
      </c>
      <c r="B48" s="14" t="s">
        <v>30</v>
      </c>
      <c r="C48" t="s">
        <v>82</v>
      </c>
      <c r="H48" t="s">
        <v>59</v>
      </c>
      <c r="I48">
        <v>3000</v>
      </c>
      <c r="J48">
        <v>840</v>
      </c>
      <c r="K48">
        <v>840</v>
      </c>
      <c r="L48">
        <v>5040</v>
      </c>
      <c r="M48">
        <v>6240</v>
      </c>
      <c r="N48">
        <v>6960</v>
      </c>
      <c r="O48">
        <v>2160</v>
      </c>
      <c r="P48">
        <f t="shared" si="1"/>
        <v>25080</v>
      </c>
    </row>
    <row r="49" spans="1:16" x14ac:dyDescent="0.25">
      <c r="A49" s="2" t="s">
        <v>96</v>
      </c>
      <c r="B49" s="14" t="s">
        <v>33</v>
      </c>
      <c r="C49" t="s">
        <v>13</v>
      </c>
      <c r="D49" t="s">
        <v>34</v>
      </c>
      <c r="E49">
        <v>1162.319049978976</v>
      </c>
      <c r="F49">
        <v>1413.76919906798</v>
      </c>
      <c r="G49">
        <v>47.450621527806177</v>
      </c>
      <c r="H49" t="s">
        <v>5</v>
      </c>
      <c r="I49">
        <v>3182.3999999999701</v>
      </c>
      <c r="J49">
        <v>3848.8888888889301</v>
      </c>
      <c r="K49">
        <v>3182.3999999999701</v>
      </c>
      <c r="L49">
        <v>4288</v>
      </c>
      <c r="M49">
        <v>3848.8888888889301</v>
      </c>
      <c r="N49">
        <v>4288</v>
      </c>
      <c r="O49">
        <v>6793.8461538461197</v>
      </c>
      <c r="P49">
        <f t="shared" ref="P49:P54" si="2">SUM(I49:O49)</f>
        <v>29432.423931623918</v>
      </c>
    </row>
    <row r="50" spans="1:16" x14ac:dyDescent="0.25">
      <c r="A50" s="2" t="s">
        <v>96</v>
      </c>
      <c r="B50" s="14" t="s">
        <v>33</v>
      </c>
      <c r="C50" t="s">
        <v>13</v>
      </c>
      <c r="H50" t="s">
        <v>59</v>
      </c>
      <c r="I50">
        <v>1800</v>
      </c>
      <c r="J50">
        <v>7200</v>
      </c>
      <c r="K50">
        <v>2640</v>
      </c>
      <c r="L50">
        <v>6120</v>
      </c>
      <c r="M50">
        <v>5400</v>
      </c>
      <c r="N50">
        <v>1200</v>
      </c>
      <c r="O50">
        <v>4200</v>
      </c>
      <c r="P50">
        <f t="shared" si="2"/>
        <v>28560</v>
      </c>
    </row>
    <row r="51" spans="1:16" x14ac:dyDescent="0.25">
      <c r="A51" s="2" t="s">
        <v>96</v>
      </c>
      <c r="B51" s="14" t="s">
        <v>35</v>
      </c>
      <c r="C51" t="s">
        <v>110</v>
      </c>
      <c r="D51" t="s">
        <v>36</v>
      </c>
      <c r="E51">
        <v>557.60455570700697</v>
      </c>
      <c r="F51">
        <v>646.23996810600215</v>
      </c>
      <c r="G51">
        <v>22.891942167841481</v>
      </c>
      <c r="H51" t="s">
        <v>5</v>
      </c>
      <c r="I51">
        <v>2753.9737866731198</v>
      </c>
      <c r="J51">
        <v>1613.5831747091599</v>
      </c>
      <c r="K51">
        <v>865.29997760859897</v>
      </c>
      <c r="L51">
        <v>2235.1541998644698</v>
      </c>
      <c r="M51">
        <v>3311.3172806868201</v>
      </c>
      <c r="N51">
        <v>2030.8182732297</v>
      </c>
      <c r="O51">
        <v>1721.2164629496799</v>
      </c>
      <c r="P51">
        <f t="shared" si="2"/>
        <v>14531.363155721549</v>
      </c>
    </row>
    <row r="52" spans="1:16" x14ac:dyDescent="0.25">
      <c r="A52" s="2" t="s">
        <v>96</v>
      </c>
      <c r="B52" s="14" t="s">
        <v>35</v>
      </c>
      <c r="C52" t="s">
        <v>110</v>
      </c>
      <c r="H52" t="s">
        <v>59</v>
      </c>
      <c r="I52">
        <v>2520</v>
      </c>
      <c r="J52">
        <v>1200</v>
      </c>
      <c r="K52">
        <v>0</v>
      </c>
      <c r="L52">
        <v>2400</v>
      </c>
      <c r="M52">
        <v>4440</v>
      </c>
      <c r="N52">
        <v>1920</v>
      </c>
      <c r="O52">
        <v>1800</v>
      </c>
      <c r="P52">
        <f t="shared" si="2"/>
        <v>14280</v>
      </c>
    </row>
    <row r="53" spans="1:16" x14ac:dyDescent="0.25">
      <c r="A53" s="2" t="s">
        <v>96</v>
      </c>
      <c r="B53" s="14" t="s">
        <v>37</v>
      </c>
      <c r="C53" t="s">
        <v>109</v>
      </c>
      <c r="D53" t="s">
        <v>17</v>
      </c>
      <c r="E53">
        <v>500.40376269578962</v>
      </c>
      <c r="F53">
        <v>585.18786845281022</v>
      </c>
      <c r="G53">
        <v>35.183391734850318</v>
      </c>
      <c r="H53" t="s">
        <v>5</v>
      </c>
      <c r="I53">
        <v>3171.8998645884099</v>
      </c>
      <c r="J53">
        <v>1725.37003410586</v>
      </c>
      <c r="K53">
        <v>1856.5599081862899</v>
      </c>
      <c r="L53">
        <v>2060.0678858031802</v>
      </c>
      <c r="M53">
        <v>1589.6633459730899</v>
      </c>
      <c r="N53">
        <v>2096.6911948144798</v>
      </c>
      <c r="O53">
        <v>1740.3323667540001</v>
      </c>
      <c r="P53">
        <f t="shared" si="2"/>
        <v>14240.584600225311</v>
      </c>
    </row>
    <row r="54" spans="1:16" x14ac:dyDescent="0.25">
      <c r="A54" s="2" t="s">
        <v>96</v>
      </c>
      <c r="B54" s="14" t="s">
        <v>37</v>
      </c>
      <c r="C54" t="s">
        <v>109</v>
      </c>
      <c r="H54" t="s">
        <v>59</v>
      </c>
      <c r="I54">
        <v>3360</v>
      </c>
      <c r="J54">
        <v>1800</v>
      </c>
      <c r="K54">
        <v>1800</v>
      </c>
      <c r="L54">
        <v>2160</v>
      </c>
      <c r="M54">
        <v>3480</v>
      </c>
      <c r="N54">
        <v>1920</v>
      </c>
      <c r="O54">
        <v>1560</v>
      </c>
      <c r="P54">
        <f t="shared" si="2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0207-B760-4ECD-84B1-CFD9BE57879F}">
  <dimension ref="A1:B7"/>
  <sheetViews>
    <sheetView workbookViewId="0">
      <selection activeCell="B7" sqref="A1:B7"/>
    </sheetView>
  </sheetViews>
  <sheetFormatPr baseColWidth="10" defaultRowHeight="15" x14ac:dyDescent="0.25"/>
  <cols>
    <col min="1" max="1" width="44.5703125" customWidth="1"/>
    <col min="2" max="2" width="34" customWidth="1"/>
  </cols>
  <sheetData>
    <row r="1" spans="1:2" x14ac:dyDescent="0.25">
      <c r="A1" s="11" t="s">
        <v>67</v>
      </c>
      <c r="B1" s="11" t="s">
        <v>119</v>
      </c>
    </row>
    <row r="2" spans="1:2" x14ac:dyDescent="0.25">
      <c r="A2" s="10" t="s">
        <v>113</v>
      </c>
      <c r="B2" s="10" t="s">
        <v>111</v>
      </c>
    </row>
    <row r="3" spans="1:2" x14ac:dyDescent="0.25">
      <c r="A3" s="10" t="s">
        <v>114</v>
      </c>
      <c r="B3" s="10" t="s">
        <v>111</v>
      </c>
    </row>
    <row r="4" spans="1:2" ht="30" x14ac:dyDescent="0.25">
      <c r="A4" s="10" t="s">
        <v>115</v>
      </c>
      <c r="B4" s="10" t="s">
        <v>112</v>
      </c>
    </row>
    <row r="5" spans="1:2" ht="30" x14ac:dyDescent="0.25">
      <c r="A5" s="10" t="s">
        <v>116</v>
      </c>
      <c r="B5" s="10" t="s">
        <v>112</v>
      </c>
    </row>
    <row r="6" spans="1:2" ht="30" x14ac:dyDescent="0.25">
      <c r="A6" s="10" t="s">
        <v>117</v>
      </c>
      <c r="B6" s="10" t="s">
        <v>112</v>
      </c>
    </row>
    <row r="7" spans="1:2" ht="30" x14ac:dyDescent="0.25">
      <c r="A7" s="10" t="s">
        <v>118</v>
      </c>
      <c r="B7" s="10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Q31"/>
  <sheetViews>
    <sheetView zoomScale="115" zoomScaleNormal="115" workbookViewId="0">
      <selection activeCell="S28" sqref="S28"/>
    </sheetView>
  </sheetViews>
  <sheetFormatPr baseColWidth="10" defaultRowHeight="15" x14ac:dyDescent="0.25"/>
  <cols>
    <col min="2" max="2" width="11.42578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4.140625" bestFit="1" customWidth="1"/>
    <col min="9" max="9" width="13.7109375" bestFit="1" customWidth="1"/>
    <col min="10" max="10" width="7.85546875" bestFit="1" customWidth="1"/>
    <col min="11" max="11" width="8.42578125" bestFit="1" customWidth="1"/>
    <col min="12" max="12" width="6.7109375" bestFit="1" customWidth="1"/>
    <col min="13" max="13" width="17.7109375" bestFit="1" customWidth="1"/>
    <col min="14" max="14" width="13.7109375" bestFit="1" customWidth="1"/>
    <col min="15" max="15" width="7.85546875" bestFit="1" customWidth="1"/>
    <col min="16" max="16" width="8.42578125" bestFit="1" customWidth="1"/>
    <col min="17" max="17" width="6.7109375" bestFit="1" customWidth="1"/>
    <col min="18" max="18" width="19.140625" bestFit="1" customWidth="1"/>
    <col min="19" max="19" width="18.7109375" bestFit="1" customWidth="1"/>
    <col min="20" max="20" width="12.7109375" bestFit="1" customWidth="1"/>
    <col min="21" max="21" width="13.28515625" bestFit="1" customWidth="1"/>
    <col min="22" max="22" width="11.5703125" bestFit="1" customWidth="1"/>
    <col min="23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17" x14ac:dyDescent="0.25">
      <c r="C3" s="4" t="s">
        <v>99</v>
      </c>
    </row>
    <row r="4" spans="2:17" x14ac:dyDescent="0.25">
      <c r="C4" t="s">
        <v>96</v>
      </c>
      <c r="H4" t="s">
        <v>95</v>
      </c>
      <c r="M4" t="s">
        <v>94</v>
      </c>
    </row>
    <row r="5" spans="2:17" x14ac:dyDescent="0.25">
      <c r="B5" s="4" t="s">
        <v>64</v>
      </c>
      <c r="C5" t="s">
        <v>62</v>
      </c>
      <c r="D5" t="s">
        <v>63</v>
      </c>
      <c r="E5" t="s">
        <v>61</v>
      </c>
      <c r="F5" s="2" t="s">
        <v>66</v>
      </c>
      <c r="G5" t="s">
        <v>65</v>
      </c>
      <c r="H5" t="s">
        <v>62</v>
      </c>
      <c r="I5" t="s">
        <v>63</v>
      </c>
      <c r="J5" t="s">
        <v>61</v>
      </c>
      <c r="K5" s="2" t="s">
        <v>66</v>
      </c>
      <c r="L5" t="s">
        <v>65</v>
      </c>
      <c r="M5" t="s">
        <v>62</v>
      </c>
      <c r="N5" t="s">
        <v>63</v>
      </c>
      <c r="O5" t="s">
        <v>61</v>
      </c>
      <c r="P5" s="2" t="s">
        <v>66</v>
      </c>
      <c r="Q5" t="s">
        <v>65</v>
      </c>
    </row>
    <row r="6" spans="2:17" x14ac:dyDescent="0.25">
      <c r="B6" s="5" t="s">
        <v>6</v>
      </c>
      <c r="C6" s="6"/>
      <c r="D6" s="6"/>
      <c r="E6" s="7"/>
      <c r="F6" s="7"/>
      <c r="G6" s="7"/>
      <c r="H6" s="6">
        <v>150487.9556176553</v>
      </c>
      <c r="I6" s="6">
        <v>140520</v>
      </c>
      <c r="J6" s="7">
        <v>0.10102837077272346</v>
      </c>
      <c r="K6" s="9">
        <v>7.0936205647988193E-2</v>
      </c>
      <c r="L6" s="7">
        <v>9.3322499816915747E-2</v>
      </c>
      <c r="M6" s="6"/>
      <c r="N6" s="6"/>
      <c r="O6" s="7"/>
      <c r="P6" s="7"/>
      <c r="Q6" s="7"/>
    </row>
    <row r="7" spans="2:17" x14ac:dyDescent="0.25">
      <c r="B7" s="5" t="s">
        <v>8</v>
      </c>
      <c r="C7" s="6"/>
      <c r="D7" s="6"/>
      <c r="E7" s="7"/>
      <c r="F7" s="7"/>
      <c r="G7" s="7"/>
      <c r="H7" s="6">
        <v>8243.8278700254559</v>
      </c>
      <c r="I7" s="6">
        <v>9180</v>
      </c>
      <c r="J7" s="7">
        <v>0.12141768019010926</v>
      </c>
      <c r="K7" s="9">
        <v>0.10197953485561483</v>
      </c>
      <c r="L7" s="7">
        <v>-9.3017230129951237E-2</v>
      </c>
      <c r="M7" s="6"/>
      <c r="N7" s="6"/>
      <c r="O7" s="7"/>
      <c r="P7" s="7"/>
      <c r="Q7" s="7"/>
    </row>
    <row r="8" spans="2:17" x14ac:dyDescent="0.25">
      <c r="B8" s="5" t="s">
        <v>10</v>
      </c>
      <c r="C8" s="6"/>
      <c r="D8" s="6"/>
      <c r="E8" s="7"/>
      <c r="F8" s="7"/>
      <c r="G8" s="7"/>
      <c r="H8" s="6">
        <v>7456.7076411238677</v>
      </c>
      <c r="I8" s="6">
        <v>7200</v>
      </c>
      <c r="J8" s="7">
        <v>0.20204110878934897</v>
      </c>
      <c r="K8" s="9">
        <v>3.5653839044981622E-2</v>
      </c>
      <c r="L8" s="7">
        <v>5.0672040456253335E-2</v>
      </c>
      <c r="M8" s="6"/>
      <c r="N8" s="6"/>
      <c r="O8" s="7"/>
      <c r="P8" s="7"/>
      <c r="Q8" s="7"/>
    </row>
    <row r="9" spans="2:17" x14ac:dyDescent="0.25">
      <c r="B9" s="5" t="s">
        <v>12</v>
      </c>
      <c r="C9" s="6"/>
      <c r="D9" s="6"/>
      <c r="E9" s="7"/>
      <c r="F9" s="7"/>
      <c r="G9" s="7"/>
      <c r="H9" s="6">
        <v>3699.2956957424981</v>
      </c>
      <c r="I9" s="6">
        <v>3900</v>
      </c>
      <c r="J9" s="7">
        <v>0.31404587676216461</v>
      </c>
      <c r="K9" s="9">
        <v>5.1462642117308187E-2</v>
      </c>
      <c r="L9" s="7">
        <v>-3.1302029675318144E-2</v>
      </c>
      <c r="M9" s="6"/>
      <c r="N9" s="6"/>
      <c r="O9" s="7"/>
      <c r="P9" s="7"/>
      <c r="Q9" s="7"/>
    </row>
    <row r="10" spans="2:17" x14ac:dyDescent="0.25">
      <c r="B10" s="5" t="s">
        <v>14</v>
      </c>
      <c r="C10" s="6"/>
      <c r="D10" s="6"/>
      <c r="E10" s="7"/>
      <c r="F10" s="7"/>
      <c r="G10" s="7"/>
      <c r="H10" s="6">
        <v>3293.3698610603901</v>
      </c>
      <c r="I10" s="6">
        <v>3900</v>
      </c>
      <c r="J10" s="7">
        <v>0.40211441134591025</v>
      </c>
      <c r="K10" s="9">
        <v>0.15554618947169485</v>
      </c>
      <c r="L10" s="7">
        <v>0.11813992603823105</v>
      </c>
      <c r="M10" s="6"/>
      <c r="N10" s="6"/>
      <c r="O10" s="7"/>
      <c r="P10" s="7"/>
      <c r="Q10" s="7"/>
    </row>
    <row r="11" spans="2:17" x14ac:dyDescent="0.25">
      <c r="B11" s="5" t="s">
        <v>16</v>
      </c>
      <c r="C11" s="6"/>
      <c r="D11" s="6"/>
      <c r="E11" s="7"/>
      <c r="F11" s="7"/>
      <c r="G11" s="7"/>
      <c r="H11" s="6">
        <v>15144.397458490543</v>
      </c>
      <c r="I11" s="6">
        <v>15840</v>
      </c>
      <c r="J11" s="7">
        <v>0.54407290646056694</v>
      </c>
      <c r="K11" s="9">
        <v>4.3914301862970788E-2</v>
      </c>
      <c r="L11" s="7">
        <v>0.8447790303325845</v>
      </c>
      <c r="M11" s="6"/>
      <c r="N11" s="6"/>
      <c r="O11" s="7"/>
      <c r="P11" s="7"/>
      <c r="Q11" s="7"/>
    </row>
    <row r="12" spans="2:17" x14ac:dyDescent="0.25">
      <c r="B12" s="5" t="s">
        <v>18</v>
      </c>
      <c r="C12" s="6">
        <v>6810.1748657226472</v>
      </c>
      <c r="D12" s="6">
        <v>6960</v>
      </c>
      <c r="E12" s="7">
        <v>0.14265225289881969</v>
      </c>
      <c r="F12" s="9">
        <v>2.1526599752493224E-2</v>
      </c>
      <c r="G12" s="7">
        <v>-2.1681874898397836E-2</v>
      </c>
      <c r="H12" s="6"/>
      <c r="I12" s="6"/>
      <c r="J12" s="7"/>
      <c r="K12" s="7"/>
      <c r="L12" s="7"/>
      <c r="M12" s="6"/>
      <c r="N12" s="6"/>
      <c r="O12" s="7"/>
      <c r="P12" s="7"/>
      <c r="Q12" s="7"/>
    </row>
    <row r="13" spans="2:17" x14ac:dyDescent="0.25">
      <c r="B13" s="5" t="s">
        <v>20</v>
      </c>
      <c r="C13" s="6"/>
      <c r="D13" s="6"/>
      <c r="E13" s="7"/>
      <c r="F13" s="7"/>
      <c r="G13" s="7"/>
      <c r="H13" s="6">
        <v>24147.47544026043</v>
      </c>
      <c r="I13" s="6">
        <v>24600</v>
      </c>
      <c r="J13" s="7">
        <v>0.22784422645544355</v>
      </c>
      <c r="K13" s="9">
        <v>1.8395307306486572E-2</v>
      </c>
      <c r="L13" s="7">
        <v>7.5046145063687744E-2</v>
      </c>
      <c r="M13" s="6"/>
      <c r="N13" s="6"/>
      <c r="O13" s="7"/>
      <c r="P13" s="7"/>
      <c r="Q13" s="7"/>
    </row>
    <row r="14" spans="2:17" x14ac:dyDescent="0.25">
      <c r="B14" s="5" t="s">
        <v>21</v>
      </c>
      <c r="C14" s="6"/>
      <c r="D14" s="6"/>
      <c r="E14" s="7"/>
      <c r="F14" s="7"/>
      <c r="G14" s="7"/>
      <c r="H14" s="6">
        <v>82472.640865842768</v>
      </c>
      <c r="I14" s="6">
        <v>82871</v>
      </c>
      <c r="J14" s="7">
        <v>0.24844748392408678</v>
      </c>
      <c r="K14" s="9">
        <v>4.8069787278690003E-3</v>
      </c>
      <c r="L14" s="7">
        <v>0.12756455044243215</v>
      </c>
      <c r="M14" s="6"/>
      <c r="N14" s="6"/>
      <c r="O14" s="7"/>
      <c r="P14" s="7"/>
      <c r="Q14" s="7"/>
    </row>
    <row r="15" spans="2:17" x14ac:dyDescent="0.25">
      <c r="B15" s="5" t="s">
        <v>23</v>
      </c>
      <c r="C15" s="6"/>
      <c r="D15" s="6"/>
      <c r="E15" s="7"/>
      <c r="F15" s="7"/>
      <c r="G15" s="7"/>
      <c r="H15" s="6">
        <v>15586.466960540558</v>
      </c>
      <c r="I15" s="6">
        <v>15120</v>
      </c>
      <c r="J15" s="7">
        <v>0.29012156992196292</v>
      </c>
      <c r="K15" s="9">
        <v>3.0850989453740603E-2</v>
      </c>
      <c r="L15" s="7">
        <v>0.18578242947255943</v>
      </c>
      <c r="M15" s="6"/>
      <c r="N15" s="6"/>
      <c r="O15" s="7"/>
      <c r="P15" s="7"/>
      <c r="Q15" s="7"/>
    </row>
    <row r="16" spans="2:17" x14ac:dyDescent="0.25">
      <c r="B16" s="5" t="s">
        <v>25</v>
      </c>
      <c r="C16" s="6">
        <v>23955</v>
      </c>
      <c r="D16" s="6">
        <v>27720</v>
      </c>
      <c r="E16" s="7">
        <v>0.59253246753246758</v>
      </c>
      <c r="F16" s="9">
        <v>0.13582251082251082</v>
      </c>
      <c r="G16" s="7">
        <v>1.2132115239258099</v>
      </c>
      <c r="H16" s="6"/>
      <c r="I16" s="6"/>
      <c r="J16" s="7"/>
      <c r="K16" s="7"/>
      <c r="L16" s="7"/>
      <c r="M16" s="6"/>
      <c r="N16" s="6"/>
      <c r="O16" s="7"/>
      <c r="P16" s="7"/>
      <c r="Q16" s="7"/>
    </row>
    <row r="17" spans="2:17" x14ac:dyDescent="0.25">
      <c r="B17" s="5" t="s">
        <v>27</v>
      </c>
      <c r="C17" s="6"/>
      <c r="D17" s="6"/>
      <c r="E17" s="7"/>
      <c r="F17" s="7"/>
      <c r="G17" s="7"/>
      <c r="H17" s="6">
        <v>32269.107342975651</v>
      </c>
      <c r="I17" s="6">
        <v>33900</v>
      </c>
      <c r="J17" s="7">
        <v>0.28895269688987463</v>
      </c>
      <c r="K17" s="9">
        <v>4.8108927935821513E-2</v>
      </c>
      <c r="L17" s="7">
        <v>9.5555629434852532E-2</v>
      </c>
      <c r="M17" s="6"/>
      <c r="N17" s="6"/>
      <c r="O17" s="7"/>
      <c r="P17" s="7"/>
      <c r="Q17" s="7"/>
    </row>
    <row r="18" spans="2:17" x14ac:dyDescent="0.25">
      <c r="B18" s="5" t="s">
        <v>28</v>
      </c>
      <c r="C18" s="6">
        <v>64601.066668526764</v>
      </c>
      <c r="D18" s="6">
        <v>60360</v>
      </c>
      <c r="E18" s="7">
        <v>0.52528675504075584</v>
      </c>
      <c r="F18" s="9">
        <v>7.0262867271815174E-2</v>
      </c>
      <c r="G18" s="7">
        <v>0.18843849032294255</v>
      </c>
      <c r="H18" s="6"/>
      <c r="I18" s="6"/>
      <c r="J18" s="7"/>
      <c r="K18" s="7"/>
      <c r="L18" s="7"/>
      <c r="M18" s="6"/>
      <c r="N18" s="6"/>
      <c r="O18" s="7"/>
      <c r="P18" s="7"/>
      <c r="Q18" s="7"/>
    </row>
    <row r="19" spans="2:17" x14ac:dyDescent="0.25">
      <c r="B19" s="5" t="s">
        <v>29</v>
      </c>
      <c r="C19" s="6"/>
      <c r="D19" s="6"/>
      <c r="E19" s="7"/>
      <c r="F19" s="7"/>
      <c r="G19" s="7"/>
      <c r="H19" s="6"/>
      <c r="I19" s="6"/>
      <c r="J19" s="7"/>
      <c r="K19" s="7"/>
      <c r="L19" s="7"/>
      <c r="M19" s="6">
        <v>28900.162432287649</v>
      </c>
      <c r="N19" s="6">
        <v>30600</v>
      </c>
      <c r="O19" s="7">
        <v>0.31755322495909316</v>
      </c>
      <c r="P19" s="9">
        <v>5.5550247310861153E-2</v>
      </c>
      <c r="Q19" s="7">
        <v>0.32515485403849703</v>
      </c>
    </row>
    <row r="20" spans="2:17" x14ac:dyDescent="0.25">
      <c r="B20" s="5" t="s">
        <v>30</v>
      </c>
      <c r="C20" s="6">
        <v>24229.776127345769</v>
      </c>
      <c r="D20" s="6">
        <v>25080</v>
      </c>
      <c r="E20" s="7">
        <v>0.20987311114947407</v>
      </c>
      <c r="F20" s="9">
        <v>3.3900473391317021E-2</v>
      </c>
      <c r="G20" s="7">
        <v>0.20928397109655483</v>
      </c>
      <c r="H20" s="6"/>
      <c r="I20" s="6"/>
      <c r="J20" s="7"/>
      <c r="K20" s="7"/>
      <c r="L20" s="7"/>
      <c r="M20" s="6"/>
      <c r="N20" s="6"/>
      <c r="O20" s="7"/>
      <c r="P20" s="7"/>
      <c r="Q20" s="7"/>
    </row>
    <row r="21" spans="2:17" x14ac:dyDescent="0.25">
      <c r="B21" s="5" t="s">
        <v>32</v>
      </c>
      <c r="C21" s="6"/>
      <c r="D21" s="6"/>
      <c r="E21" s="7"/>
      <c r="F21" s="7"/>
      <c r="G21" s="7"/>
      <c r="H21" s="6">
        <v>33808.032801183494</v>
      </c>
      <c r="I21" s="6">
        <v>33600</v>
      </c>
      <c r="J21" s="7">
        <v>0.20472221787112499</v>
      </c>
      <c r="K21" s="9">
        <v>6.1914524161754041E-3</v>
      </c>
      <c r="L21" s="7">
        <v>1.7606313214100784E-2</v>
      </c>
      <c r="M21" s="6"/>
      <c r="N21" s="6"/>
      <c r="O21" s="7"/>
      <c r="P21" s="7"/>
      <c r="Q21" s="7"/>
    </row>
    <row r="22" spans="2:17" x14ac:dyDescent="0.25">
      <c r="B22" s="5" t="s">
        <v>33</v>
      </c>
      <c r="C22" s="6">
        <v>29432.423931623918</v>
      </c>
      <c r="D22" s="6">
        <v>28560</v>
      </c>
      <c r="E22" s="7">
        <v>0.50213124566065126</v>
      </c>
      <c r="F22" s="9">
        <v>3.05470564294089E-2</v>
      </c>
      <c r="G22" s="7">
        <v>0.44462128486031055</v>
      </c>
      <c r="H22" s="6"/>
      <c r="I22" s="6"/>
      <c r="J22" s="7"/>
      <c r="K22" s="7"/>
      <c r="L22" s="7"/>
      <c r="M22" s="6"/>
      <c r="N22" s="6"/>
      <c r="O22" s="7"/>
      <c r="P22" s="7"/>
      <c r="Q22" s="7"/>
    </row>
    <row r="23" spans="2:17" x14ac:dyDescent="0.25">
      <c r="B23" s="5" t="s">
        <v>35</v>
      </c>
      <c r="C23" s="6">
        <v>14531.363155721549</v>
      </c>
      <c r="D23" s="6">
        <v>14280</v>
      </c>
      <c r="E23" s="7">
        <v>0.20980303002238154</v>
      </c>
      <c r="F23" s="9">
        <v>1.7602461885262502E-2</v>
      </c>
      <c r="G23" s="7">
        <v>2.142583925975218E-2</v>
      </c>
      <c r="H23" s="6"/>
      <c r="I23" s="6"/>
      <c r="J23" s="7"/>
      <c r="K23" s="7"/>
      <c r="L23" s="7"/>
      <c r="M23" s="6"/>
      <c r="N23" s="6"/>
      <c r="O23" s="7"/>
      <c r="P23" s="7"/>
      <c r="Q23" s="7"/>
    </row>
    <row r="24" spans="2:17" x14ac:dyDescent="0.25">
      <c r="B24" s="5" t="s">
        <v>37</v>
      </c>
      <c r="C24" s="6">
        <v>14240.584600225311</v>
      </c>
      <c r="D24" s="6">
        <v>16080</v>
      </c>
      <c r="E24" s="7">
        <v>0.16583223503011377</v>
      </c>
      <c r="F24" s="9">
        <v>0.1143915049611125</v>
      </c>
      <c r="G24" s="7">
        <v>-6.3980260681066894E-2</v>
      </c>
      <c r="H24" s="6"/>
      <c r="I24" s="6"/>
      <c r="J24" s="7"/>
      <c r="K24" s="7"/>
      <c r="L24" s="7"/>
      <c r="M24" s="6"/>
      <c r="N24" s="6"/>
      <c r="O24" s="7"/>
      <c r="P24" s="7"/>
      <c r="Q24" s="7"/>
    </row>
    <row r="25" spans="2:17" x14ac:dyDescent="0.25">
      <c r="B25" s="5" t="s">
        <v>38</v>
      </c>
      <c r="C25" s="6">
        <v>92054.890269520576</v>
      </c>
      <c r="D25" s="6">
        <v>90000</v>
      </c>
      <c r="E25" s="7">
        <v>0.21847161825964434</v>
      </c>
      <c r="F25" s="9">
        <v>2.2832114105784181E-2</v>
      </c>
      <c r="G25" s="7">
        <v>0.12830051660088668</v>
      </c>
      <c r="H25" s="6"/>
      <c r="I25" s="6"/>
      <c r="J25" s="7"/>
      <c r="K25" s="7"/>
      <c r="L25" s="7"/>
      <c r="M25" s="6"/>
      <c r="N25" s="6"/>
      <c r="O25" s="7"/>
      <c r="P25" s="7"/>
      <c r="Q25" s="7"/>
    </row>
    <row r="26" spans="2:17" x14ac:dyDescent="0.25">
      <c r="B26" s="5" t="s">
        <v>40</v>
      </c>
      <c r="C26" s="6">
        <v>32699.097971436979</v>
      </c>
      <c r="D26" s="6">
        <v>30600</v>
      </c>
      <c r="E26" s="7">
        <v>0.20157555062195881</v>
      </c>
      <c r="F26" s="9">
        <v>6.8597972922777084E-2</v>
      </c>
      <c r="G26" s="7">
        <v>0.10145026851128296</v>
      </c>
      <c r="H26" s="6"/>
      <c r="I26" s="6"/>
      <c r="J26" s="7"/>
      <c r="K26" s="7"/>
      <c r="L26" s="7"/>
      <c r="M26" s="6"/>
      <c r="N26" s="6"/>
      <c r="O26" s="7"/>
      <c r="P26" s="7"/>
      <c r="Q26" s="7"/>
    </row>
    <row r="27" spans="2:17" x14ac:dyDescent="0.25">
      <c r="B27" s="5" t="s">
        <v>41</v>
      </c>
      <c r="C27" s="6"/>
      <c r="D27" s="6"/>
      <c r="E27" s="7"/>
      <c r="F27" s="7"/>
      <c r="G27" s="7"/>
      <c r="H27" s="6">
        <v>102332.40051479753</v>
      </c>
      <c r="I27" s="6">
        <v>101400</v>
      </c>
      <c r="J27" s="7">
        <v>8.3019094100971705E-2</v>
      </c>
      <c r="K27" s="9">
        <v>9.1952713490880255E-3</v>
      </c>
      <c r="L27" s="7">
        <v>2.4461110771042953E-2</v>
      </c>
      <c r="M27" s="6"/>
      <c r="N27" s="6"/>
      <c r="O27" s="7"/>
      <c r="P27" s="7"/>
      <c r="Q27" s="7"/>
    </row>
    <row r="28" spans="2:17" x14ac:dyDescent="0.25">
      <c r="B28" s="5" t="s">
        <v>43</v>
      </c>
      <c r="C28" s="6">
        <v>20922.03054300752</v>
      </c>
      <c r="D28" s="6">
        <v>20850</v>
      </c>
      <c r="E28" s="7">
        <v>0.1155108285846657</v>
      </c>
      <c r="F28" s="9">
        <v>3.4547023025189669E-3</v>
      </c>
      <c r="G28" s="7">
        <v>4.2723561771832182E-2</v>
      </c>
      <c r="H28" s="6"/>
      <c r="I28" s="6"/>
      <c r="J28" s="7"/>
      <c r="K28" s="7"/>
      <c r="L28" s="7"/>
      <c r="M28" s="6"/>
      <c r="N28" s="6"/>
      <c r="O28" s="7"/>
      <c r="P28" s="7"/>
      <c r="Q28" s="7"/>
    </row>
    <row r="29" spans="2:17" x14ac:dyDescent="0.25">
      <c r="B29" s="5" t="s">
        <v>45</v>
      </c>
      <c r="C29" s="6"/>
      <c r="D29" s="6"/>
      <c r="E29" s="7"/>
      <c r="F29" s="7"/>
      <c r="G29" s="7"/>
      <c r="H29" s="6"/>
      <c r="I29" s="6"/>
      <c r="J29" s="7"/>
      <c r="K29" s="7"/>
      <c r="L29" s="7"/>
      <c r="M29" s="6">
        <v>69332.629724448096</v>
      </c>
      <c r="N29" s="6">
        <v>70200</v>
      </c>
      <c r="O29" s="7">
        <v>0.40560081152868832</v>
      </c>
      <c r="P29" s="9">
        <v>1.2355701930938809E-2</v>
      </c>
      <c r="Q29" s="7">
        <v>0.50623310112901609</v>
      </c>
    </row>
    <row r="30" spans="2:17" x14ac:dyDescent="0.25">
      <c r="B30" s="5" t="s">
        <v>47</v>
      </c>
      <c r="C30" s="6"/>
      <c r="D30" s="6"/>
      <c r="E30" s="7"/>
      <c r="F30" s="7"/>
      <c r="G30" s="7"/>
      <c r="H30" s="6">
        <v>8585.8988542080369</v>
      </c>
      <c r="I30" s="6">
        <v>14760</v>
      </c>
      <c r="J30" s="7">
        <v>0.58385192570291167</v>
      </c>
      <c r="K30" s="9">
        <v>0.41829953562276173</v>
      </c>
      <c r="L30" s="7">
        <v>-0.29224851927348211</v>
      </c>
      <c r="M30" s="6"/>
      <c r="N30" s="6"/>
      <c r="O30" s="7"/>
      <c r="P30" s="7"/>
      <c r="Q30" s="7"/>
    </row>
    <row r="31" spans="2:17" x14ac:dyDescent="0.25">
      <c r="B31" s="5" t="s">
        <v>49</v>
      </c>
      <c r="C31" s="6"/>
      <c r="D31" s="6"/>
      <c r="E31" s="7"/>
      <c r="F31" s="7"/>
      <c r="G31" s="7"/>
      <c r="H31" s="6">
        <v>5970.1806203764727</v>
      </c>
      <c r="I31" s="6">
        <v>7380</v>
      </c>
      <c r="J31" s="7">
        <v>0.5118626877774749</v>
      </c>
      <c r="K31" s="9">
        <v>0.19103243626335059</v>
      </c>
      <c r="L31" s="7">
        <v>0.13562322551737574</v>
      </c>
      <c r="M31" s="6"/>
      <c r="N31" s="6"/>
      <c r="O31" s="7"/>
      <c r="P31" s="7"/>
      <c r="Q31" s="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H8" sqref="H8:I8"/>
    </sheetView>
  </sheetViews>
  <sheetFormatPr baseColWidth="10" defaultRowHeight="15" x14ac:dyDescent="0.25"/>
  <cols>
    <col min="2" max="2" width="12.140625" bestFit="1" customWidth="1"/>
    <col min="6" max="6" width="12" bestFit="1" customWidth="1"/>
  </cols>
  <sheetData>
    <row r="1" spans="1:12" x14ac:dyDescent="0.25">
      <c r="A1" s="1" t="s">
        <v>0</v>
      </c>
      <c r="B1" s="1" t="s">
        <v>67</v>
      </c>
      <c r="C1" s="1" t="s">
        <v>3</v>
      </c>
      <c r="D1" s="1" t="s">
        <v>2</v>
      </c>
      <c r="E1" s="1" t="s">
        <v>4</v>
      </c>
      <c r="F1" s="1" t="s">
        <v>68</v>
      </c>
    </row>
    <row r="2" spans="1:12" x14ac:dyDescent="0.25">
      <c r="A2" t="s">
        <v>6</v>
      </c>
      <c r="B2" t="s">
        <v>69</v>
      </c>
      <c r="C2">
        <v>3274.912277742098</v>
      </c>
      <c r="D2">
        <v>2838.8457651188792</v>
      </c>
      <c r="E2">
        <v>14.711003311930069</v>
      </c>
      <c r="F2">
        <v>10722.697736602</v>
      </c>
      <c r="G2">
        <v>19791.579510256499</v>
      </c>
      <c r="H2">
        <v>7896.4810645132602</v>
      </c>
      <c r="I2">
        <v>26674.5629564761</v>
      </c>
      <c r="J2">
        <v>22781.427169962401</v>
      </c>
      <c r="K2">
        <v>20655.848317415701</v>
      </c>
      <c r="L2">
        <v>15708.6419094548</v>
      </c>
    </row>
    <row r="3" spans="1:12" x14ac:dyDescent="0.25">
      <c r="A3" t="s">
        <v>8</v>
      </c>
      <c r="B3" t="s">
        <v>70</v>
      </c>
      <c r="C3">
        <v>328.39381543647983</v>
      </c>
      <c r="D3">
        <v>268.61976793651002</v>
      </c>
      <c r="E3">
        <v>20.004234590767961</v>
      </c>
      <c r="F3">
        <v>841.75929739517005</v>
      </c>
      <c r="G3">
        <v>977.85599506964002</v>
      </c>
      <c r="H3">
        <v>812.597139848751</v>
      </c>
      <c r="I3">
        <v>1330.5484574053601</v>
      </c>
      <c r="J3">
        <v>1308.2940500686</v>
      </c>
      <c r="K3">
        <v>516.89774187984494</v>
      </c>
      <c r="L3">
        <v>1511.70894277705</v>
      </c>
    </row>
    <row r="4" spans="1:12" x14ac:dyDescent="0.25">
      <c r="A4" t="s">
        <v>10</v>
      </c>
      <c r="B4" t="s">
        <v>71</v>
      </c>
      <c r="C4">
        <v>289.1029541609326</v>
      </c>
      <c r="D4">
        <v>251.06548416919239</v>
      </c>
      <c r="E4">
        <v>38.330892972775118</v>
      </c>
      <c r="F4">
        <v>970.47011124303799</v>
      </c>
      <c r="G4">
        <v>1272.61443443966</v>
      </c>
      <c r="H4">
        <v>799.07759034550895</v>
      </c>
      <c r="I4">
        <v>1215.3485033485799</v>
      </c>
      <c r="J4">
        <v>1344.52339609717</v>
      </c>
      <c r="K4">
        <v>909.77352726556705</v>
      </c>
      <c r="L4">
        <v>1559.9264875184799</v>
      </c>
    </row>
    <row r="5" spans="1:12" x14ac:dyDescent="0.25">
      <c r="A5" t="s">
        <v>12</v>
      </c>
      <c r="B5" t="s">
        <v>72</v>
      </c>
      <c r="C5">
        <v>334.23516575959042</v>
      </c>
      <c r="D5">
        <v>284.54470594414238</v>
      </c>
      <c r="E5">
        <v>42.33236976282187</v>
      </c>
      <c r="F5">
        <v>408.048053128422</v>
      </c>
      <c r="G5">
        <v>396.62440921065303</v>
      </c>
      <c r="H5">
        <v>398.961839220858</v>
      </c>
      <c r="I5">
        <v>399.00846552667099</v>
      </c>
      <c r="J5">
        <v>399.00939561329699</v>
      </c>
      <c r="K5">
        <v>399.009414166368</v>
      </c>
      <c r="L5">
        <v>399.009414536458</v>
      </c>
    </row>
    <row r="6" spans="1:12" x14ac:dyDescent="0.25">
      <c r="A6" t="s">
        <v>14</v>
      </c>
      <c r="B6" t="s">
        <v>73</v>
      </c>
      <c r="C6">
        <v>227.3766104095246</v>
      </c>
      <c r="D6">
        <v>193.27757775221991</v>
      </c>
      <c r="E6">
        <v>47.603364341875782</v>
      </c>
      <c r="F6">
        <v>316.80331104077601</v>
      </c>
      <c r="G6">
        <v>508.79055015352498</v>
      </c>
      <c r="H6">
        <v>219.51133679102099</v>
      </c>
      <c r="I6">
        <v>371.38288150705699</v>
      </c>
      <c r="J6">
        <v>581.12291560936796</v>
      </c>
      <c r="K6">
        <v>587.92573682277202</v>
      </c>
      <c r="L6">
        <v>570.97831953703599</v>
      </c>
    </row>
    <row r="7" spans="1:12" x14ac:dyDescent="0.25">
      <c r="A7" t="s">
        <v>16</v>
      </c>
      <c r="B7" t="s">
        <v>74</v>
      </c>
      <c r="C7">
        <v>1759.673900235364</v>
      </c>
      <c r="D7">
        <v>1351.032855740508</v>
      </c>
      <c r="E7">
        <v>105.2191632676511</v>
      </c>
      <c r="F7">
        <v>3070.4431056429198</v>
      </c>
      <c r="G7">
        <v>1479.97336190849</v>
      </c>
      <c r="H7">
        <v>630.78046630955203</v>
      </c>
      <c r="I7">
        <v>999.005347907025</v>
      </c>
      <c r="J7">
        <v>3002.16759892959</v>
      </c>
      <c r="K7">
        <v>2035.0564440385101</v>
      </c>
      <c r="L7">
        <v>1585.6524284178799</v>
      </c>
    </row>
    <row r="8" spans="1:12" x14ac:dyDescent="0.25">
      <c r="A8" t="s">
        <v>18</v>
      </c>
      <c r="B8" t="s">
        <v>75</v>
      </c>
      <c r="C8">
        <v>283.9996866413552</v>
      </c>
      <c r="D8">
        <v>250.36002610685941</v>
      </c>
      <c r="E8">
        <v>27.59347678905311</v>
      </c>
      <c r="F8">
        <v>380.308519724002</v>
      </c>
      <c r="G8">
        <v>386.88081683658601</v>
      </c>
      <c r="H8">
        <v>947.95082586298304</v>
      </c>
      <c r="I8">
        <v>1559.47398933677</v>
      </c>
      <c r="J8">
        <v>464.16648329166702</v>
      </c>
      <c r="K8">
        <v>1268.2855123793199</v>
      </c>
      <c r="L8">
        <v>552.88634630525598</v>
      </c>
    </row>
    <row r="9" spans="1:12" x14ac:dyDescent="0.25">
      <c r="A9" t="s">
        <v>20</v>
      </c>
      <c r="B9" t="s">
        <v>76</v>
      </c>
      <c r="C9">
        <v>972.93094414670577</v>
      </c>
      <c r="D9">
        <v>696.83241360309398</v>
      </c>
      <c r="E9">
        <v>34.653231074587069</v>
      </c>
      <c r="F9">
        <v>4351.6140562682403</v>
      </c>
      <c r="G9">
        <v>4316.3518520396101</v>
      </c>
      <c r="H9">
        <v>0</v>
      </c>
      <c r="I9">
        <v>4570.6985667250501</v>
      </c>
      <c r="J9">
        <v>4057.5515017456</v>
      </c>
      <c r="K9">
        <v>3932.3826945113401</v>
      </c>
      <c r="L9">
        <v>4360.4774457350904</v>
      </c>
    </row>
    <row r="10" spans="1:12" x14ac:dyDescent="0.25">
      <c r="A10" t="s">
        <v>21</v>
      </c>
      <c r="B10" t="s">
        <v>77</v>
      </c>
      <c r="C10">
        <v>4692.5961745531058</v>
      </c>
      <c r="D10">
        <v>3966.583286869793</v>
      </c>
      <c r="E10">
        <v>50.989269545520287</v>
      </c>
      <c r="F10">
        <v>16727.3420254142</v>
      </c>
      <c r="G10">
        <v>13113.505666532101</v>
      </c>
      <c r="H10">
        <v>12771.113541106701</v>
      </c>
      <c r="I10">
        <v>13427.067535160601</v>
      </c>
      <c r="J10">
        <v>21865.395893661698</v>
      </c>
      <c r="K10">
        <v>12930.766479014999</v>
      </c>
      <c r="L10">
        <v>14144.118949411401</v>
      </c>
    </row>
    <row r="11" spans="1:12" x14ac:dyDescent="0.25">
      <c r="A11" t="s">
        <v>23</v>
      </c>
      <c r="B11" t="s">
        <v>78</v>
      </c>
      <c r="C11">
        <v>696.8842539251059</v>
      </c>
      <c r="D11">
        <v>539.13759457934282</v>
      </c>
      <c r="E11">
        <v>28.81453344400591</v>
      </c>
      <c r="F11">
        <v>2130.4072473481101</v>
      </c>
      <c r="G11">
        <v>1712.657809197</v>
      </c>
      <c r="H11">
        <v>1786.61872463392</v>
      </c>
      <c r="I11">
        <v>2197.8637645470999</v>
      </c>
      <c r="J11">
        <v>2385.4525891591402</v>
      </c>
      <c r="K11">
        <v>2140.4053598104101</v>
      </c>
      <c r="L11">
        <v>1825.7434424340499</v>
      </c>
    </row>
    <row r="12" spans="1:12" x14ac:dyDescent="0.25">
      <c r="A12" t="s">
        <v>25</v>
      </c>
      <c r="B12" t="s">
        <v>79</v>
      </c>
      <c r="C12">
        <v>3140.372051758121</v>
      </c>
      <c r="D12">
        <v>2531.199324910177</v>
      </c>
      <c r="E12">
        <v>59.802440517136198</v>
      </c>
      <c r="F12">
        <v>3110.0871807562899</v>
      </c>
      <c r="G12">
        <v>123.60083887450099</v>
      </c>
      <c r="H12">
        <v>389.32404120937099</v>
      </c>
      <c r="I12">
        <v>1335.8989020167201</v>
      </c>
      <c r="J12">
        <v>2383.6359294397898</v>
      </c>
      <c r="K12">
        <v>863.22867278199703</v>
      </c>
      <c r="L12">
        <v>386.963579909911</v>
      </c>
    </row>
    <row r="13" spans="1:12" x14ac:dyDescent="0.25">
      <c r="A13" t="s">
        <v>27</v>
      </c>
      <c r="B13" t="s">
        <v>80</v>
      </c>
      <c r="C13">
        <v>1764.545580269533</v>
      </c>
      <c r="D13">
        <v>1555.770178221579</v>
      </c>
      <c r="E13">
        <v>36.275683955221147</v>
      </c>
      <c r="F13">
        <v>4085.81386897017</v>
      </c>
      <c r="G13">
        <v>4836.60267704743</v>
      </c>
      <c r="H13">
        <v>3246.7817154323002</v>
      </c>
      <c r="I13">
        <v>5096.2826331039596</v>
      </c>
      <c r="J13">
        <v>4387.6528222975803</v>
      </c>
      <c r="K13">
        <v>4136.2052078321904</v>
      </c>
      <c r="L13">
        <v>4332.0141119751497</v>
      </c>
    </row>
    <row r="14" spans="1:12" x14ac:dyDescent="0.25">
      <c r="A14" t="s">
        <v>28</v>
      </c>
      <c r="B14" t="s">
        <v>81</v>
      </c>
      <c r="C14">
        <v>13968.041753668431</v>
      </c>
      <c r="D14">
        <v>13267.114809560269</v>
      </c>
      <c r="E14">
        <v>221.12624747691299</v>
      </c>
      <c r="F14">
        <v>16788.946923762302</v>
      </c>
      <c r="G14">
        <v>11673.2821112398</v>
      </c>
      <c r="H14">
        <v>16986.195767990899</v>
      </c>
      <c r="I14">
        <v>23660.922577368099</v>
      </c>
      <c r="J14">
        <v>27237.4065195281</v>
      </c>
      <c r="K14">
        <v>27377.365474430298</v>
      </c>
      <c r="L14">
        <v>29362.436186621399</v>
      </c>
    </row>
    <row r="15" spans="1:12" x14ac:dyDescent="0.25">
      <c r="A15" t="s">
        <v>29</v>
      </c>
      <c r="B15" t="s">
        <v>82</v>
      </c>
      <c r="C15">
        <v>867.79263208854752</v>
      </c>
      <c r="D15">
        <v>712.2549009247856</v>
      </c>
      <c r="E15">
        <v>40.998046794441663</v>
      </c>
      <c r="F15">
        <v>3209.1989594593001</v>
      </c>
      <c r="G15">
        <v>4301.5601992032398</v>
      </c>
      <c r="H15">
        <v>2307.3166967923698</v>
      </c>
      <c r="I15">
        <v>4711.0689773809399</v>
      </c>
      <c r="J15">
        <v>7662.2027320242996</v>
      </c>
      <c r="K15">
        <v>2559.5007251820998</v>
      </c>
      <c r="L15">
        <v>4149.3141422454</v>
      </c>
    </row>
    <row r="16" spans="1:12" x14ac:dyDescent="0.25">
      <c r="A16" t="s">
        <v>30</v>
      </c>
      <c r="B16" t="s">
        <v>83</v>
      </c>
      <c r="C16">
        <v>1140.1032425769399</v>
      </c>
      <c r="D16">
        <v>881.94174325777408</v>
      </c>
      <c r="E16">
        <v>35.397888471524368</v>
      </c>
      <c r="F16">
        <v>3739.0456511104899</v>
      </c>
      <c r="G16">
        <v>1988.9131940145101</v>
      </c>
      <c r="H16">
        <v>886.61416951315005</v>
      </c>
      <c r="I16">
        <v>4433.3913214026297</v>
      </c>
      <c r="J16">
        <v>5448.0240081053598</v>
      </c>
      <c r="K16">
        <v>3875.8068058239</v>
      </c>
      <c r="L16">
        <v>2531.11031522962</v>
      </c>
    </row>
    <row r="17" spans="1:12" x14ac:dyDescent="0.25">
      <c r="A17" t="s">
        <v>32</v>
      </c>
      <c r="B17" t="s">
        <v>84</v>
      </c>
      <c r="C17">
        <v>1123.9670824839529</v>
      </c>
      <c r="D17">
        <v>974.52902364106717</v>
      </c>
      <c r="E17">
        <v>20.401037709047461</v>
      </c>
      <c r="F17">
        <v>4599.7134224892898</v>
      </c>
      <c r="G17">
        <v>5213.8235617282498</v>
      </c>
      <c r="H17">
        <v>3438.5872082901501</v>
      </c>
      <c r="I17">
        <v>6328.8484376619699</v>
      </c>
      <c r="J17">
        <v>5955.0096999403904</v>
      </c>
      <c r="K17">
        <v>2672.0014960088702</v>
      </c>
      <c r="L17">
        <v>6036.8344157721003</v>
      </c>
    </row>
    <row r="18" spans="1:12" x14ac:dyDescent="0.25">
      <c r="A18" t="s">
        <v>33</v>
      </c>
      <c r="B18" t="s">
        <v>85</v>
      </c>
      <c r="C18">
        <v>1964.0702332664259</v>
      </c>
      <c r="D18">
        <v>1732.536029364453</v>
      </c>
      <c r="E18">
        <v>44.543985153393201</v>
      </c>
      <c r="F18">
        <v>2631.9087135534601</v>
      </c>
      <c r="G18">
        <v>3563.9982437488102</v>
      </c>
      <c r="H18">
        <v>1441.83849299489</v>
      </c>
      <c r="I18">
        <v>4061.58255038985</v>
      </c>
      <c r="J18">
        <v>3342.2907138660398</v>
      </c>
      <c r="K18">
        <v>1907.60430801556</v>
      </c>
      <c r="L18">
        <v>5837.9491849817396</v>
      </c>
    </row>
    <row r="19" spans="1:12" x14ac:dyDescent="0.25">
      <c r="A19" t="s">
        <v>35</v>
      </c>
      <c r="B19" t="s">
        <v>86</v>
      </c>
      <c r="C19">
        <v>663.54847954994648</v>
      </c>
      <c r="D19">
        <v>603.99884480345213</v>
      </c>
      <c r="E19">
        <v>26.731737586680179</v>
      </c>
      <c r="F19">
        <v>2773.24435791414</v>
      </c>
      <c r="G19">
        <v>1823.0179671124599</v>
      </c>
      <c r="H19">
        <v>851.52991065557296</v>
      </c>
      <c r="I19">
        <v>1926.0854804303599</v>
      </c>
      <c r="J19">
        <v>2588.1587316405598</v>
      </c>
      <c r="K19">
        <v>1491.5651878651299</v>
      </c>
      <c r="L19">
        <v>2267.2818500317399</v>
      </c>
    </row>
    <row r="20" spans="1:12" x14ac:dyDescent="0.25">
      <c r="A20" t="s">
        <v>37</v>
      </c>
      <c r="B20" t="s">
        <v>87</v>
      </c>
      <c r="C20">
        <v>868.61141082303857</v>
      </c>
      <c r="D20">
        <v>591.38833626509143</v>
      </c>
      <c r="E20">
        <v>21.28754433742413</v>
      </c>
      <c r="F20">
        <v>1788.6081567574299</v>
      </c>
      <c r="G20">
        <v>2164.1339785426599</v>
      </c>
      <c r="H20">
        <v>1850.0780813180399</v>
      </c>
      <c r="I20">
        <v>2112.7260827595201</v>
      </c>
      <c r="J20">
        <v>1893.0710045685701</v>
      </c>
      <c r="K20">
        <v>2076.7706828843202</v>
      </c>
      <c r="L20">
        <v>1923.1408551961399</v>
      </c>
    </row>
    <row r="21" spans="1:12" x14ac:dyDescent="0.25">
      <c r="A21" t="s">
        <v>38</v>
      </c>
      <c r="B21" t="s">
        <v>88</v>
      </c>
      <c r="C21">
        <v>5310.2300945464094</v>
      </c>
      <c r="D21">
        <v>4803.3002233077586</v>
      </c>
      <c r="E21">
        <v>47.621484981672268</v>
      </c>
      <c r="F21">
        <v>14746.6675137404</v>
      </c>
      <c r="G21">
        <v>13473.321197925399</v>
      </c>
      <c r="H21">
        <v>14330.2552756321</v>
      </c>
      <c r="I21">
        <v>13622.459707747699</v>
      </c>
      <c r="J21">
        <v>14199.6973578982</v>
      </c>
      <c r="K21">
        <v>13728.5972429414</v>
      </c>
      <c r="L21">
        <v>14113.0597944117</v>
      </c>
    </row>
    <row r="22" spans="1:12" x14ac:dyDescent="0.25">
      <c r="A22" t="s">
        <v>40</v>
      </c>
      <c r="B22" t="s">
        <v>88</v>
      </c>
      <c r="C22">
        <v>1195.5146259272269</v>
      </c>
      <c r="D22">
        <v>969.67772398488455</v>
      </c>
      <c r="E22">
        <v>26.008034290281721</v>
      </c>
      <c r="F22">
        <v>5332.2711770363203</v>
      </c>
      <c r="G22">
        <v>5327.4007377220896</v>
      </c>
      <c r="H22">
        <v>5357.7884608918403</v>
      </c>
      <c r="I22">
        <v>5331.7388730472403</v>
      </c>
      <c r="J22">
        <v>5353.0418270692799</v>
      </c>
      <c r="K22">
        <v>5335.6676098291</v>
      </c>
      <c r="L22">
        <v>5349.8353822982899</v>
      </c>
    </row>
    <row r="23" spans="1:12" x14ac:dyDescent="0.25">
      <c r="A23" t="s">
        <v>41</v>
      </c>
      <c r="B23" t="s">
        <v>89</v>
      </c>
      <c r="C23">
        <v>2251.7032153835862</v>
      </c>
      <c r="D23">
        <v>1508.831995299819</v>
      </c>
      <c r="E23">
        <v>9.2714394474265447</v>
      </c>
      <c r="F23">
        <v>12218.277785727199</v>
      </c>
      <c r="G23">
        <v>17132.901454933701</v>
      </c>
      <c r="H23">
        <v>9528.1508725311196</v>
      </c>
      <c r="I23">
        <v>15421.173530997399</v>
      </c>
      <c r="J23">
        <v>12246.892034079099</v>
      </c>
      <c r="K23">
        <v>15673.6204834861</v>
      </c>
      <c r="L23">
        <v>14552.364249658</v>
      </c>
    </row>
    <row r="24" spans="1:12" x14ac:dyDescent="0.25">
      <c r="A24" t="s">
        <v>43</v>
      </c>
      <c r="B24" t="s">
        <v>74</v>
      </c>
      <c r="C24">
        <v>677.52355999189626</v>
      </c>
      <c r="D24">
        <v>528.40951134145098</v>
      </c>
      <c r="E24">
        <v>15.90141872334303</v>
      </c>
      <c r="F24">
        <v>2556.4320995406001</v>
      </c>
      <c r="G24">
        <v>3284.7062317079299</v>
      </c>
      <c r="H24">
        <v>1467.3869010185499</v>
      </c>
      <c r="I24">
        <v>3114.4005369061802</v>
      </c>
      <c r="J24">
        <v>2242.1599360691498</v>
      </c>
      <c r="K24">
        <v>2032.6654823399899</v>
      </c>
      <c r="L24">
        <v>2453.3822330273902</v>
      </c>
    </row>
    <row r="25" spans="1:12" x14ac:dyDescent="0.25">
      <c r="A25" t="s">
        <v>45</v>
      </c>
      <c r="B25" t="s">
        <v>90</v>
      </c>
      <c r="C25">
        <v>4719.5459539102822</v>
      </c>
      <c r="D25">
        <v>4067.5967099019872</v>
      </c>
      <c r="E25">
        <v>80.832912238346026</v>
      </c>
      <c r="F25">
        <v>9923.9196838050793</v>
      </c>
      <c r="G25">
        <v>9901.4516734405006</v>
      </c>
      <c r="H25">
        <v>9901.4516734405006</v>
      </c>
      <c r="I25">
        <v>9901.4516734405006</v>
      </c>
      <c r="J25">
        <v>9901.4516734405006</v>
      </c>
      <c r="K25">
        <v>9901.4516734405006</v>
      </c>
      <c r="L25">
        <v>9901.4516734405006</v>
      </c>
    </row>
    <row r="26" spans="1:12" x14ac:dyDescent="0.25">
      <c r="A26" t="s">
        <v>47</v>
      </c>
      <c r="B26" t="s">
        <v>91</v>
      </c>
      <c r="C26">
        <v>1485.2448740268901</v>
      </c>
      <c r="D26">
        <v>1144.990825185982</v>
      </c>
      <c r="E26">
        <v>152.9945412176032</v>
      </c>
      <c r="F26">
        <v>1632.7646932745599</v>
      </c>
      <c r="G26">
        <v>0</v>
      </c>
      <c r="H26">
        <v>0</v>
      </c>
      <c r="I26">
        <v>0</v>
      </c>
      <c r="J26">
        <v>1391.49927931407</v>
      </c>
      <c r="K26">
        <v>793.22635394681504</v>
      </c>
      <c r="L26">
        <v>0</v>
      </c>
    </row>
    <row r="27" spans="1:12" x14ac:dyDescent="0.25">
      <c r="A27" t="s">
        <v>49</v>
      </c>
      <c r="B27" t="s">
        <v>92</v>
      </c>
      <c r="C27">
        <v>954.62503621627582</v>
      </c>
      <c r="D27">
        <v>793.16188827308099</v>
      </c>
      <c r="E27">
        <v>266.84791486375798</v>
      </c>
      <c r="F27">
        <v>1509.1085700966501</v>
      </c>
      <c r="G27">
        <v>1532.0610623723901</v>
      </c>
      <c r="H27">
        <v>1409.4255378264399</v>
      </c>
      <c r="I27">
        <v>2022.16131532073</v>
      </c>
      <c r="J27">
        <v>1582.1885695108599</v>
      </c>
      <c r="K27">
        <v>1834.2152136776899</v>
      </c>
      <c r="L27">
        <v>1615.5037847598001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06BDB6F-4839-4D55-8540-1C04BFD24F9B}">
  <ds:schemaRefs/>
</ds:datastoreItem>
</file>

<file path=customXml/itemProps2.xml><?xml version="1.0" encoding="utf-8"?>
<ds:datastoreItem xmlns:ds="http://schemas.openxmlformats.org/officeDocument/2006/customXml" ds:itemID="{14B7B712-0663-4450-9B8E-AD499730FFA8}">
  <ds:schemaRefs/>
</ds:datastoreItem>
</file>

<file path=customXml/itemProps3.xml><?xml version="1.0" encoding="utf-8"?>
<ds:datastoreItem xmlns:ds="http://schemas.openxmlformats.org/officeDocument/2006/customXml" ds:itemID="{F7637ACF-3239-4DCD-830B-C29E56C08056}">
  <ds:schemaRefs/>
</ds:datastoreItem>
</file>

<file path=customXml/itemProps4.xml><?xml version="1.0" encoding="utf-8"?>
<ds:datastoreItem xmlns:ds="http://schemas.openxmlformats.org/officeDocument/2006/customXml" ds:itemID="{CA0A201E-EB0B-482A-8729-0820DE0F1192}">
  <ds:schemaRefs/>
</ds:datastoreItem>
</file>

<file path=customXml/itemProps5.xml><?xml version="1.0" encoding="utf-8"?>
<ds:datastoreItem xmlns:ds="http://schemas.openxmlformats.org/officeDocument/2006/customXml" ds:itemID="{28F2A2D0-508C-4007-AA7B-BA973307D253}">
  <ds:schemaRefs/>
</ds:datastoreItem>
</file>

<file path=customXml/itemProps6.xml><?xml version="1.0" encoding="utf-8"?>
<ds:datastoreItem xmlns:ds="http://schemas.openxmlformats.org/officeDocument/2006/customXml" ds:itemID="{334C172A-8370-4F76-A6E0-D7E0C18D512D}">
  <ds:schemaRefs/>
</ds:datastoreItem>
</file>

<file path=customXml/itemProps7.xml><?xml version="1.0" encoding="utf-8"?>
<ds:datastoreItem xmlns:ds="http://schemas.openxmlformats.org/officeDocument/2006/customXml" ds:itemID="{83480261-0343-43FF-B522-5F95E5A49444}">
  <ds:schemaRefs/>
</ds:datastoreItem>
</file>

<file path=customXml/itemProps8.xml><?xml version="1.0" encoding="utf-8"?>
<ds:datastoreItem xmlns:ds="http://schemas.openxmlformats.org/officeDocument/2006/customXml" ds:itemID="{74657136-4BA3-45B5-9F5D-A7236D053D03}">
  <ds:schemaRefs/>
</ds:datastoreItem>
</file>

<file path=customXml/itemProps9.xml><?xml version="1.0" encoding="utf-8"?>
<ds:datastoreItem xmlns:ds="http://schemas.openxmlformats.org/officeDocument/2006/customXml" ds:itemID="{80F46845-9EE4-4C14-8CEE-B2C153F7D146}">
  <ds:schemaRefs/>
</ds:datastoreItem>
</file>

<file path=customXml/itemProps10.xml><?xml version="1.0" encoding="utf-8"?>
<ds:datastoreItem xmlns:ds="http://schemas.openxmlformats.org/officeDocument/2006/customXml" ds:itemID="{457BB523-C578-4C70-94A0-F6DDA996EAA7}">
  <ds:schemaRefs/>
</ds:datastoreItem>
</file>

<file path=customXml/itemProps11.xml><?xml version="1.0" encoding="utf-8"?>
<ds:datastoreItem xmlns:ds="http://schemas.openxmlformats.org/officeDocument/2006/customXml" ds:itemID="{DDE7201D-CBEE-4941-847E-5E09DFE55219}">
  <ds:schemaRefs/>
</ds:datastoreItem>
</file>

<file path=customXml/itemProps12.xml><?xml version="1.0" encoding="utf-8"?>
<ds:datastoreItem xmlns:ds="http://schemas.openxmlformats.org/officeDocument/2006/customXml" ds:itemID="{D33C3EF4-C9A0-4670-B44D-15BC7E8A9EED}">
  <ds:schemaRefs/>
</ds:datastoreItem>
</file>

<file path=customXml/itemProps13.xml><?xml version="1.0" encoding="utf-8"?>
<ds:datastoreItem xmlns:ds="http://schemas.openxmlformats.org/officeDocument/2006/customXml" ds:itemID="{38397E51-AF97-4CD6-92A2-2F8D069D3E08}">
  <ds:schemaRefs/>
</ds:datastoreItem>
</file>

<file path=customXml/itemProps14.xml><?xml version="1.0" encoding="utf-8"?>
<ds:datastoreItem xmlns:ds="http://schemas.openxmlformats.org/officeDocument/2006/customXml" ds:itemID="{FE7CC479-DC22-4634-BA16-32D9A1755A64}">
  <ds:schemaRefs/>
</ds:datastoreItem>
</file>

<file path=customXml/itemProps15.xml><?xml version="1.0" encoding="utf-8"?>
<ds:datastoreItem xmlns:ds="http://schemas.openxmlformats.org/officeDocument/2006/customXml" ds:itemID="{C86FEBF5-687A-4C07-878A-3329454F5B1C}">
  <ds:schemaRefs/>
</ds:datastoreItem>
</file>

<file path=customXml/itemProps16.xml><?xml version="1.0" encoding="utf-8"?>
<ds:datastoreItem xmlns:ds="http://schemas.openxmlformats.org/officeDocument/2006/customXml" ds:itemID="{25C07120-F60F-41C5-8848-2712264D18C3}">
  <ds:schemaRefs/>
</ds:datastoreItem>
</file>

<file path=customXml/itemProps17.xml><?xml version="1.0" encoding="utf-8"?>
<ds:datastoreItem xmlns:ds="http://schemas.openxmlformats.org/officeDocument/2006/customXml" ds:itemID="{F73359B8-CC6E-41EF-8FD7-6E7DC6F3C30F}">
  <ds:schemaRefs/>
</ds:datastoreItem>
</file>

<file path=customXml/itemProps18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Resumen</vt:lpstr>
      <vt:lpstr>pivot table 2</vt:lpstr>
      <vt:lpstr>transformed data</vt:lpstr>
      <vt:lpstr>Hoja1</vt:lpstr>
      <vt:lpstr>pivot table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2025-06-26T02:01:13Z</dcterms:modified>
</cp:coreProperties>
</file>